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uide" sheetId="2" state="visible" r:id="rId4"/>
    <sheet name="Data" sheetId="3" state="visible" r:id="rId5"/>
    <sheet name="Cal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<sst xmlns="http://schemas.openxmlformats.org/spreadsheetml/2006/main" count="2724" uniqueCount="746">
  <si>
    <t xml:space="preserve">Sales &amp; Revenue Analysis Dashboard</t>
  </si>
  <si>
    <t xml:space="preserve">Jan 2025 - Sep 2026  |  Use the yellow dropdowns to filter every KPI, chart and insight</t>
  </si>
  <si>
    <t xml:space="preserve">Year</t>
  </si>
  <si>
    <t xml:space="preserve">All</t>
  </si>
  <si>
    <t xml:space="preserve">Region</t>
  </si>
  <si>
    <t xml:space="preserve">Category</t>
  </si>
  <si>
    <t xml:space="preserve">Filters combine (e.g. 2026 + West + Software)</t>
  </si>
  <si>
    <t xml:space="preserve">TOTAL REVENUE</t>
  </si>
  <si>
    <t xml:space="preserve">TOTAL PROFIT</t>
  </si>
  <si>
    <t xml:space="preserve">PROFIT MARGIN</t>
  </si>
  <si>
    <t xml:space="preserve">ORDERS</t>
  </si>
  <si>
    <t xml:space="preserve">UNITS SOLD</t>
  </si>
  <si>
    <t xml:space="preserve">AVG ORDER VALUE</t>
  </si>
  <si>
    <t xml:space="preserve">KEY BUSINESS INSIGHTS (update automatically with filters)</t>
  </si>
  <si>
    <t xml:space="preserve">Sample data is synthetic. Replace the Data sheet with your own sales data and everything updates. See the Guide sheet.</t>
  </si>
  <si>
    <t xml:space="preserve">How to use this dashboard</t>
  </si>
  <si>
    <t xml:space="preserve">1. Dashboard: pick Year / Region / Category from the yellow dropdowns; all KPIs, charts and insights recalculate.</t>
  </si>
  <si>
    <t xml:space="preserve">2. Data: 650 sample sales transactions (synthetic). Replace columns A, B, E-J with your own data; copy formulas in C, D, K, L down.</t>
  </si>
  <si>
    <t xml:space="preserve">3. Calc: helper tables that feed the charts. Do not edit.</t>
  </si>
  <si>
    <t xml:space="preserve">Importing your own data</t>
  </si>
  <si>
    <t xml:space="preserve">Excel: Data &gt; Get Data &gt; From Text/CSV (or From Workbook / From Database), then paste/load into the Data sheet.</t>
  </si>
  <si>
    <t xml:space="preserve">Google Sheets: File &gt; Import &gt; Upload your CSV/Excel, then copy it into the Data sheet columns.</t>
  </si>
  <si>
    <t xml:space="preserve">Database: export the query result as CSV and import as above, or use Power Query / Connected Sheets.</t>
  </si>
  <si>
    <t xml:space="preserve">Slicers</t>
  </si>
  <si>
    <t xml:space="preserve">Excel: click inside the Data table &gt; Table Design &gt; Insert Slicer to filter the raw data visually.</t>
  </si>
  <si>
    <t xml:space="preserve">Google Sheets: Data &gt; Add a slicer. The Dashboard dropdowns work in both apps without any setup.</t>
  </si>
  <si>
    <t xml:space="preserve">KPI definitions</t>
  </si>
  <si>
    <t xml:space="preserve">Revenue = Quantity x Unit Price.  Profit = Quantity x (Unit Price - Unit Cost).  Margin = Profit / Revenue.</t>
  </si>
  <si>
    <t xml:space="preserve">Orders = number of transaction rows.  AOV = Revenue / Orders.</t>
  </si>
  <si>
    <t xml:space="preserve">Assumptions</t>
  </si>
  <si>
    <t xml:space="preserve">Currency is Indian Rupees (₹). All sample figures are randomly generated and carry no real business meaning.</t>
  </si>
  <si>
    <t xml:space="preserve">Formulas read Data rows 2-5000; extend the ranges in Calc/Dashboard if you exceed that.</t>
  </si>
  <si>
    <t xml:space="preserve">Order ID</t>
  </si>
  <si>
    <t xml:space="preserve">Date</t>
  </si>
  <si>
    <t xml:space="preserve">Month</t>
  </si>
  <si>
    <t xml:space="preserve">Product</t>
  </si>
  <si>
    <t xml:space="preserve">Quantity</t>
  </si>
  <si>
    <t xml:space="preserve">Unit Price (₹)</t>
  </si>
  <si>
    <t xml:space="preserve">Unit Cost (₹)</t>
  </si>
  <si>
    <t xml:space="preserve">Revenue (₹)</t>
  </si>
  <si>
    <t xml:space="preserve">Profit (₹)</t>
  </si>
  <si>
    <t xml:space="preserve">Notes</t>
  </si>
  <si>
    <t xml:space="preserve">ORD-00001</t>
  </si>
  <si>
    <t xml:space="preserve">North</t>
  </si>
  <si>
    <t xml:space="preserve">Electronics</t>
  </si>
  <si>
    <t xml:space="preserve">Wireless Earbuds</t>
  </si>
  <si>
    <t xml:space="preserve">Sample data is synthetic (seeded random) - replace rows A:J with your own sales data.</t>
  </si>
  <si>
    <t xml:space="preserve">ORD-00002</t>
  </si>
  <si>
    <t xml:space="preserve">South</t>
  </si>
  <si>
    <t xml:space="preserve">Laptop Pro 15</t>
  </si>
  <si>
    <t xml:space="preserve">Blue = hardcoded inputs; black = formulas (Year, Month, Revenue, Profit).</t>
  </si>
  <si>
    <t xml:space="preserve">ORD-00003</t>
  </si>
  <si>
    <t xml:space="preserve">To add rows: paste below the last row and copy the formulas in C, D, K, L down.</t>
  </si>
  <si>
    <t xml:space="preserve">ORD-00004</t>
  </si>
  <si>
    <t xml:space="preserve">Dashboard formulas read rows 2-5000 of this sheet.</t>
  </si>
  <si>
    <t xml:space="preserve">ORD-00005</t>
  </si>
  <si>
    <t xml:space="preserve">West</t>
  </si>
  <si>
    <t xml:space="preserve">Office Supplies</t>
  </si>
  <si>
    <t xml:space="preserve">Printer Paper Carton</t>
  </si>
  <si>
    <t xml:space="preserve">Currency assumed to be Indian Rupees (₹) - change the number formats if needed.</t>
  </si>
  <si>
    <t xml:space="preserve">ORD-00006</t>
  </si>
  <si>
    <t xml:space="preserve">Central</t>
  </si>
  <si>
    <t xml:space="preserve">Furniture</t>
  </si>
  <si>
    <t xml:space="preserve">Standing Desk</t>
  </si>
  <si>
    <t xml:space="preserve">ORD-00007</t>
  </si>
  <si>
    <t xml:space="preserve">Software</t>
  </si>
  <si>
    <t xml:space="preserve">Cloud Storage Plan</t>
  </si>
  <si>
    <t xml:space="preserve">ORD-00008</t>
  </si>
  <si>
    <t xml:space="preserve">ORD-00009</t>
  </si>
  <si>
    <t xml:space="preserve">Smart Monitor 27"</t>
  </si>
  <si>
    <t xml:space="preserve">ORD-00010</t>
  </si>
  <si>
    <t xml:space="preserve">ORD-00011</t>
  </si>
  <si>
    <t xml:space="preserve">Bookshelf</t>
  </si>
  <si>
    <t xml:space="preserve">ORD-00012</t>
  </si>
  <si>
    <t xml:space="preserve">Gel Pen Box</t>
  </si>
  <si>
    <t xml:space="preserve">ORD-00013</t>
  </si>
  <si>
    <t xml:space="preserve">East</t>
  </si>
  <si>
    <t xml:space="preserve">ORD-00014</t>
  </si>
  <si>
    <t xml:space="preserve">Premium Notebook Set</t>
  </si>
  <si>
    <t xml:space="preserve">ORD-00015</t>
  </si>
  <si>
    <t xml:space="preserve">ORD-00016</t>
  </si>
  <si>
    <t xml:space="preserve">Productivity Suite License</t>
  </si>
  <si>
    <t xml:space="preserve">ORD-00017</t>
  </si>
  <si>
    <t xml:space="preserve">ORD-00018</t>
  </si>
  <si>
    <t xml:space="preserve">ORD-00019</t>
  </si>
  <si>
    <t xml:space="preserve">ORD-00020</t>
  </si>
  <si>
    <t xml:space="preserve">ORD-00021</t>
  </si>
  <si>
    <t xml:space="preserve">ORD-00022</t>
  </si>
  <si>
    <t xml:space="preserve">ORD-00023</t>
  </si>
  <si>
    <t xml:space="preserve">Antivirus Pack</t>
  </si>
  <si>
    <t xml:space="preserve">ORD-00024</t>
  </si>
  <si>
    <t xml:space="preserve">ORD-00025</t>
  </si>
  <si>
    <t xml:space="preserve">Ergonomic Chair</t>
  </si>
  <si>
    <t xml:space="preserve">ORD-00026</t>
  </si>
  <si>
    <t xml:space="preserve">ORD-00027</t>
  </si>
  <si>
    <t xml:space="preserve">ORD-00028</t>
  </si>
  <si>
    <t xml:space="preserve">ORD-00029</t>
  </si>
  <si>
    <t xml:space="preserve">ORD-00030</t>
  </si>
  <si>
    <t xml:space="preserve">ORD-00031</t>
  </si>
  <si>
    <t xml:space="preserve">ORD-00032</t>
  </si>
  <si>
    <t xml:space="preserve">ORD-00033</t>
  </si>
  <si>
    <t xml:space="preserve">ORD-00034</t>
  </si>
  <si>
    <t xml:space="preserve">ORD-00035</t>
  </si>
  <si>
    <t xml:space="preserve">ORD-00036</t>
  </si>
  <si>
    <t xml:space="preserve">ORD-00037</t>
  </si>
  <si>
    <t xml:space="preserve">ORD-00038</t>
  </si>
  <si>
    <t xml:space="preserve">ORD-00039</t>
  </si>
  <si>
    <t xml:space="preserve">ORD-00040</t>
  </si>
  <si>
    <t xml:space="preserve">ORD-00041</t>
  </si>
  <si>
    <t xml:space="preserve">ORD-00042</t>
  </si>
  <si>
    <t xml:space="preserve">ORD-00043</t>
  </si>
  <si>
    <t xml:space="preserve">ORD-00044</t>
  </si>
  <si>
    <t xml:space="preserve">ORD-00045</t>
  </si>
  <si>
    <t xml:space="preserve">ORD-00046</t>
  </si>
  <si>
    <t xml:space="preserve">ORD-00047</t>
  </si>
  <si>
    <t xml:space="preserve">ORD-00048</t>
  </si>
  <si>
    <t xml:space="preserve">ORD-00049</t>
  </si>
  <si>
    <t xml:space="preserve">ORD-00050</t>
  </si>
  <si>
    <t xml:space="preserve">ORD-00051</t>
  </si>
  <si>
    <t xml:space="preserve">ORD-00052</t>
  </si>
  <si>
    <t xml:space="preserve">ORD-00053</t>
  </si>
  <si>
    <t xml:space="preserve">ORD-00054</t>
  </si>
  <si>
    <t xml:space="preserve">ORD-00055</t>
  </si>
  <si>
    <t xml:space="preserve">ORD-00056</t>
  </si>
  <si>
    <t xml:space="preserve">ORD-00057</t>
  </si>
  <si>
    <t xml:space="preserve">ORD-00058</t>
  </si>
  <si>
    <t xml:space="preserve">ORD-00059</t>
  </si>
  <si>
    <t xml:space="preserve">ORD-00060</t>
  </si>
  <si>
    <t xml:space="preserve">ORD-00061</t>
  </si>
  <si>
    <t xml:space="preserve">ORD-00062</t>
  </si>
  <si>
    <t xml:space="preserve">ORD-00063</t>
  </si>
  <si>
    <t xml:space="preserve">ORD-00064</t>
  </si>
  <si>
    <t xml:space="preserve">ORD-00065</t>
  </si>
  <si>
    <t xml:space="preserve">ORD-00066</t>
  </si>
  <si>
    <t xml:space="preserve">ORD-00067</t>
  </si>
  <si>
    <t xml:space="preserve">ORD-00068</t>
  </si>
  <si>
    <t xml:space="preserve">ORD-00069</t>
  </si>
  <si>
    <t xml:space="preserve">ORD-00070</t>
  </si>
  <si>
    <t xml:space="preserve">ORD-00071</t>
  </si>
  <si>
    <t xml:space="preserve">ORD-00072</t>
  </si>
  <si>
    <t xml:space="preserve">ORD-00073</t>
  </si>
  <si>
    <t xml:space="preserve">ORD-00074</t>
  </si>
  <si>
    <t xml:space="preserve">ORD-00075</t>
  </si>
  <si>
    <t xml:space="preserve">ORD-00076</t>
  </si>
  <si>
    <t xml:space="preserve">ORD-00077</t>
  </si>
  <si>
    <t xml:space="preserve">ORD-00078</t>
  </si>
  <si>
    <t xml:space="preserve">ORD-00079</t>
  </si>
  <si>
    <t xml:space="preserve">ORD-00080</t>
  </si>
  <si>
    <t xml:space="preserve">ORD-00081</t>
  </si>
  <si>
    <t xml:space="preserve">ORD-00082</t>
  </si>
  <si>
    <t xml:space="preserve">ORD-00083</t>
  </si>
  <si>
    <t xml:space="preserve">ORD-00084</t>
  </si>
  <si>
    <t xml:space="preserve">ORD-00085</t>
  </si>
  <si>
    <t xml:space="preserve">ORD-00086</t>
  </si>
  <si>
    <t xml:space="preserve">ORD-00087</t>
  </si>
  <si>
    <t xml:space="preserve">ORD-00088</t>
  </si>
  <si>
    <t xml:space="preserve">ORD-00089</t>
  </si>
  <si>
    <t xml:space="preserve">ORD-00090</t>
  </si>
  <si>
    <t xml:space="preserve">ORD-00091</t>
  </si>
  <si>
    <t xml:space="preserve">ORD-00092</t>
  </si>
  <si>
    <t xml:space="preserve">ORD-00093</t>
  </si>
  <si>
    <t xml:space="preserve">ORD-00094</t>
  </si>
  <si>
    <t xml:space="preserve">ORD-00095</t>
  </si>
  <si>
    <t xml:space="preserve">ORD-00096</t>
  </si>
  <si>
    <t xml:space="preserve">ORD-00097</t>
  </si>
  <si>
    <t xml:space="preserve">ORD-00098</t>
  </si>
  <si>
    <t xml:space="preserve">ORD-00099</t>
  </si>
  <si>
    <t xml:space="preserve">ORD-00100</t>
  </si>
  <si>
    <t xml:space="preserve">ORD-00101</t>
  </si>
  <si>
    <t xml:space="preserve">ORD-00102</t>
  </si>
  <si>
    <t xml:space="preserve">ORD-00103</t>
  </si>
  <si>
    <t xml:space="preserve">ORD-00104</t>
  </si>
  <si>
    <t xml:space="preserve">ORD-00105</t>
  </si>
  <si>
    <t xml:space="preserve">ORD-00106</t>
  </si>
  <si>
    <t xml:space="preserve">ORD-00107</t>
  </si>
  <si>
    <t xml:space="preserve">ORD-00108</t>
  </si>
  <si>
    <t xml:space="preserve">ORD-00109</t>
  </si>
  <si>
    <t xml:space="preserve">ORD-00110</t>
  </si>
  <si>
    <t xml:space="preserve">ORD-00111</t>
  </si>
  <si>
    <t xml:space="preserve">ORD-00112</t>
  </si>
  <si>
    <t xml:space="preserve">ORD-00113</t>
  </si>
  <si>
    <t xml:space="preserve">ORD-00114</t>
  </si>
  <si>
    <t xml:space="preserve">ORD-00115</t>
  </si>
  <si>
    <t xml:space="preserve">ORD-00116</t>
  </si>
  <si>
    <t xml:space="preserve">ORD-00117</t>
  </si>
  <si>
    <t xml:space="preserve">ORD-00118</t>
  </si>
  <si>
    <t xml:space="preserve">ORD-00119</t>
  </si>
  <si>
    <t xml:space="preserve">ORD-00120</t>
  </si>
  <si>
    <t xml:space="preserve">ORD-00121</t>
  </si>
  <si>
    <t xml:space="preserve">ORD-00122</t>
  </si>
  <si>
    <t xml:space="preserve">ORD-00123</t>
  </si>
  <si>
    <t xml:space="preserve">ORD-00124</t>
  </si>
  <si>
    <t xml:space="preserve">ORD-00125</t>
  </si>
  <si>
    <t xml:space="preserve">ORD-00126</t>
  </si>
  <si>
    <t xml:space="preserve">ORD-00127</t>
  </si>
  <si>
    <t xml:space="preserve">ORD-00128</t>
  </si>
  <si>
    <t xml:space="preserve">ORD-00129</t>
  </si>
  <si>
    <t xml:space="preserve">ORD-00130</t>
  </si>
  <si>
    <t xml:space="preserve">ORD-00131</t>
  </si>
  <si>
    <t xml:space="preserve">ORD-00132</t>
  </si>
  <si>
    <t xml:space="preserve">ORD-00133</t>
  </si>
  <si>
    <t xml:space="preserve">ORD-00134</t>
  </si>
  <si>
    <t xml:space="preserve">ORD-00135</t>
  </si>
  <si>
    <t xml:space="preserve">ORD-00136</t>
  </si>
  <si>
    <t xml:space="preserve">ORD-00137</t>
  </si>
  <si>
    <t xml:space="preserve">ORD-00138</t>
  </si>
  <si>
    <t xml:space="preserve">ORD-00139</t>
  </si>
  <si>
    <t xml:space="preserve">ORD-00140</t>
  </si>
  <si>
    <t xml:space="preserve">ORD-00141</t>
  </si>
  <si>
    <t xml:space="preserve">ORD-00142</t>
  </si>
  <si>
    <t xml:space="preserve">ORD-00143</t>
  </si>
  <si>
    <t xml:space="preserve">ORD-00144</t>
  </si>
  <si>
    <t xml:space="preserve">ORD-00145</t>
  </si>
  <si>
    <t xml:space="preserve">ORD-00146</t>
  </si>
  <si>
    <t xml:space="preserve">ORD-00147</t>
  </si>
  <si>
    <t xml:space="preserve">ORD-00148</t>
  </si>
  <si>
    <t xml:space="preserve">ORD-00149</t>
  </si>
  <si>
    <t xml:space="preserve">ORD-00150</t>
  </si>
  <si>
    <t xml:space="preserve">ORD-00151</t>
  </si>
  <si>
    <t xml:space="preserve">ORD-00152</t>
  </si>
  <si>
    <t xml:space="preserve">ORD-00153</t>
  </si>
  <si>
    <t xml:space="preserve">ORD-00154</t>
  </si>
  <si>
    <t xml:space="preserve">ORD-00155</t>
  </si>
  <si>
    <t xml:space="preserve">ORD-00156</t>
  </si>
  <si>
    <t xml:space="preserve">ORD-00157</t>
  </si>
  <si>
    <t xml:space="preserve">ORD-00158</t>
  </si>
  <si>
    <t xml:space="preserve">ORD-00159</t>
  </si>
  <si>
    <t xml:space="preserve">ORD-00160</t>
  </si>
  <si>
    <t xml:space="preserve">ORD-00161</t>
  </si>
  <si>
    <t xml:space="preserve">ORD-00162</t>
  </si>
  <si>
    <t xml:space="preserve">ORD-00163</t>
  </si>
  <si>
    <t xml:space="preserve">ORD-00164</t>
  </si>
  <si>
    <t xml:space="preserve">ORD-00165</t>
  </si>
  <si>
    <t xml:space="preserve">ORD-00166</t>
  </si>
  <si>
    <t xml:space="preserve">ORD-00167</t>
  </si>
  <si>
    <t xml:space="preserve">ORD-00168</t>
  </si>
  <si>
    <t xml:space="preserve">ORD-00169</t>
  </si>
  <si>
    <t xml:space="preserve">ORD-00170</t>
  </si>
  <si>
    <t xml:space="preserve">ORD-00171</t>
  </si>
  <si>
    <t xml:space="preserve">ORD-00172</t>
  </si>
  <si>
    <t xml:space="preserve">ORD-00173</t>
  </si>
  <si>
    <t xml:space="preserve">ORD-00174</t>
  </si>
  <si>
    <t xml:space="preserve">ORD-00175</t>
  </si>
  <si>
    <t xml:space="preserve">ORD-00176</t>
  </si>
  <si>
    <t xml:space="preserve">ORD-00177</t>
  </si>
  <si>
    <t xml:space="preserve">ORD-00178</t>
  </si>
  <si>
    <t xml:space="preserve">ORD-00179</t>
  </si>
  <si>
    <t xml:space="preserve">ORD-00180</t>
  </si>
  <si>
    <t xml:space="preserve">ORD-00181</t>
  </si>
  <si>
    <t xml:space="preserve">ORD-00182</t>
  </si>
  <si>
    <t xml:space="preserve">ORD-00183</t>
  </si>
  <si>
    <t xml:space="preserve">ORD-00184</t>
  </si>
  <si>
    <t xml:space="preserve">ORD-00185</t>
  </si>
  <si>
    <t xml:space="preserve">ORD-00186</t>
  </si>
  <si>
    <t xml:space="preserve">ORD-00187</t>
  </si>
  <si>
    <t xml:space="preserve">ORD-00188</t>
  </si>
  <si>
    <t xml:space="preserve">ORD-00189</t>
  </si>
  <si>
    <t xml:space="preserve">ORD-00190</t>
  </si>
  <si>
    <t xml:space="preserve">ORD-00191</t>
  </si>
  <si>
    <t xml:space="preserve">ORD-00192</t>
  </si>
  <si>
    <t xml:space="preserve">ORD-00193</t>
  </si>
  <si>
    <t xml:space="preserve">ORD-00194</t>
  </si>
  <si>
    <t xml:space="preserve">ORD-00195</t>
  </si>
  <si>
    <t xml:space="preserve">ORD-00196</t>
  </si>
  <si>
    <t xml:space="preserve">ORD-00197</t>
  </si>
  <si>
    <t xml:space="preserve">ORD-00198</t>
  </si>
  <si>
    <t xml:space="preserve">ORD-00199</t>
  </si>
  <si>
    <t xml:space="preserve">ORD-00200</t>
  </si>
  <si>
    <t xml:space="preserve">ORD-00201</t>
  </si>
  <si>
    <t xml:space="preserve">ORD-00202</t>
  </si>
  <si>
    <t xml:space="preserve">ORD-00203</t>
  </si>
  <si>
    <t xml:space="preserve">ORD-00204</t>
  </si>
  <si>
    <t xml:space="preserve">ORD-00205</t>
  </si>
  <si>
    <t xml:space="preserve">ORD-00206</t>
  </si>
  <si>
    <t xml:space="preserve">ORD-00207</t>
  </si>
  <si>
    <t xml:space="preserve">ORD-00208</t>
  </si>
  <si>
    <t xml:space="preserve">ORD-00209</t>
  </si>
  <si>
    <t xml:space="preserve">ORD-00210</t>
  </si>
  <si>
    <t xml:space="preserve">ORD-00211</t>
  </si>
  <si>
    <t xml:space="preserve">ORD-00212</t>
  </si>
  <si>
    <t xml:space="preserve">ORD-00213</t>
  </si>
  <si>
    <t xml:space="preserve">ORD-00214</t>
  </si>
  <si>
    <t xml:space="preserve">ORD-00215</t>
  </si>
  <si>
    <t xml:space="preserve">ORD-00216</t>
  </si>
  <si>
    <t xml:space="preserve">ORD-00217</t>
  </si>
  <si>
    <t xml:space="preserve">ORD-00218</t>
  </si>
  <si>
    <t xml:space="preserve">ORD-00219</t>
  </si>
  <si>
    <t xml:space="preserve">ORD-00220</t>
  </si>
  <si>
    <t xml:space="preserve">ORD-00221</t>
  </si>
  <si>
    <t xml:space="preserve">ORD-00222</t>
  </si>
  <si>
    <t xml:space="preserve">ORD-00223</t>
  </si>
  <si>
    <t xml:space="preserve">ORD-00224</t>
  </si>
  <si>
    <t xml:space="preserve">ORD-00225</t>
  </si>
  <si>
    <t xml:space="preserve">ORD-00226</t>
  </si>
  <si>
    <t xml:space="preserve">ORD-00227</t>
  </si>
  <si>
    <t xml:space="preserve">ORD-00228</t>
  </si>
  <si>
    <t xml:space="preserve">ORD-00229</t>
  </si>
  <si>
    <t xml:space="preserve">ORD-00230</t>
  </si>
  <si>
    <t xml:space="preserve">ORD-00231</t>
  </si>
  <si>
    <t xml:space="preserve">ORD-00232</t>
  </si>
  <si>
    <t xml:space="preserve">ORD-00233</t>
  </si>
  <si>
    <t xml:space="preserve">ORD-00234</t>
  </si>
  <si>
    <t xml:space="preserve">ORD-00235</t>
  </si>
  <si>
    <t xml:space="preserve">ORD-00236</t>
  </si>
  <si>
    <t xml:space="preserve">ORD-00237</t>
  </si>
  <si>
    <t xml:space="preserve">ORD-00238</t>
  </si>
  <si>
    <t xml:space="preserve">ORD-00239</t>
  </si>
  <si>
    <t xml:space="preserve">ORD-00240</t>
  </si>
  <si>
    <t xml:space="preserve">ORD-00241</t>
  </si>
  <si>
    <t xml:space="preserve">ORD-00242</t>
  </si>
  <si>
    <t xml:space="preserve">ORD-00243</t>
  </si>
  <si>
    <t xml:space="preserve">ORD-00244</t>
  </si>
  <si>
    <t xml:space="preserve">ORD-00245</t>
  </si>
  <si>
    <t xml:space="preserve">ORD-00246</t>
  </si>
  <si>
    <t xml:space="preserve">ORD-00247</t>
  </si>
  <si>
    <t xml:space="preserve">ORD-00248</t>
  </si>
  <si>
    <t xml:space="preserve">ORD-00249</t>
  </si>
  <si>
    <t xml:space="preserve">ORD-00250</t>
  </si>
  <si>
    <t xml:space="preserve">ORD-00251</t>
  </si>
  <si>
    <t xml:space="preserve">ORD-00252</t>
  </si>
  <si>
    <t xml:space="preserve">ORD-00253</t>
  </si>
  <si>
    <t xml:space="preserve">ORD-00254</t>
  </si>
  <si>
    <t xml:space="preserve">ORD-00255</t>
  </si>
  <si>
    <t xml:space="preserve">ORD-00256</t>
  </si>
  <si>
    <t xml:space="preserve">ORD-00257</t>
  </si>
  <si>
    <t xml:space="preserve">ORD-00258</t>
  </si>
  <si>
    <t xml:space="preserve">ORD-00259</t>
  </si>
  <si>
    <t xml:space="preserve">ORD-00260</t>
  </si>
  <si>
    <t xml:space="preserve">ORD-00261</t>
  </si>
  <si>
    <t xml:space="preserve">ORD-00262</t>
  </si>
  <si>
    <t xml:space="preserve">ORD-00263</t>
  </si>
  <si>
    <t xml:space="preserve">ORD-00264</t>
  </si>
  <si>
    <t xml:space="preserve">ORD-00265</t>
  </si>
  <si>
    <t xml:space="preserve">ORD-00266</t>
  </si>
  <si>
    <t xml:space="preserve">ORD-00267</t>
  </si>
  <si>
    <t xml:space="preserve">ORD-00268</t>
  </si>
  <si>
    <t xml:space="preserve">ORD-00269</t>
  </si>
  <si>
    <t xml:space="preserve">ORD-00270</t>
  </si>
  <si>
    <t xml:space="preserve">ORD-00271</t>
  </si>
  <si>
    <t xml:space="preserve">ORD-00272</t>
  </si>
  <si>
    <t xml:space="preserve">ORD-00273</t>
  </si>
  <si>
    <t xml:space="preserve">ORD-00274</t>
  </si>
  <si>
    <t xml:space="preserve">ORD-00275</t>
  </si>
  <si>
    <t xml:space="preserve">ORD-00276</t>
  </si>
  <si>
    <t xml:space="preserve">ORD-00277</t>
  </si>
  <si>
    <t xml:space="preserve">ORD-00278</t>
  </si>
  <si>
    <t xml:space="preserve">ORD-00279</t>
  </si>
  <si>
    <t xml:space="preserve">ORD-00280</t>
  </si>
  <si>
    <t xml:space="preserve">ORD-00281</t>
  </si>
  <si>
    <t xml:space="preserve">ORD-00282</t>
  </si>
  <si>
    <t xml:space="preserve">ORD-00283</t>
  </si>
  <si>
    <t xml:space="preserve">ORD-00284</t>
  </si>
  <si>
    <t xml:space="preserve">ORD-00285</t>
  </si>
  <si>
    <t xml:space="preserve">ORD-00286</t>
  </si>
  <si>
    <t xml:space="preserve">ORD-00287</t>
  </si>
  <si>
    <t xml:space="preserve">ORD-00288</t>
  </si>
  <si>
    <t xml:space="preserve">ORD-00289</t>
  </si>
  <si>
    <t xml:space="preserve">ORD-00290</t>
  </si>
  <si>
    <t xml:space="preserve">ORD-00291</t>
  </si>
  <si>
    <t xml:space="preserve">ORD-00292</t>
  </si>
  <si>
    <t xml:space="preserve">ORD-00293</t>
  </si>
  <si>
    <t xml:space="preserve">ORD-00294</t>
  </si>
  <si>
    <t xml:space="preserve">ORD-00295</t>
  </si>
  <si>
    <t xml:space="preserve">ORD-00296</t>
  </si>
  <si>
    <t xml:space="preserve">ORD-00297</t>
  </si>
  <si>
    <t xml:space="preserve">ORD-00298</t>
  </si>
  <si>
    <t xml:space="preserve">ORD-00299</t>
  </si>
  <si>
    <t xml:space="preserve">ORD-00300</t>
  </si>
  <si>
    <t xml:space="preserve">ORD-00301</t>
  </si>
  <si>
    <t xml:space="preserve">ORD-00302</t>
  </si>
  <si>
    <t xml:space="preserve">ORD-00303</t>
  </si>
  <si>
    <t xml:space="preserve">ORD-00304</t>
  </si>
  <si>
    <t xml:space="preserve">ORD-00305</t>
  </si>
  <si>
    <t xml:space="preserve">ORD-00306</t>
  </si>
  <si>
    <t xml:space="preserve">ORD-00307</t>
  </si>
  <si>
    <t xml:space="preserve">ORD-00308</t>
  </si>
  <si>
    <t xml:space="preserve">ORD-00309</t>
  </si>
  <si>
    <t xml:space="preserve">ORD-00310</t>
  </si>
  <si>
    <t xml:space="preserve">ORD-00311</t>
  </si>
  <si>
    <t xml:space="preserve">ORD-00312</t>
  </si>
  <si>
    <t xml:space="preserve">ORD-00313</t>
  </si>
  <si>
    <t xml:space="preserve">ORD-00314</t>
  </si>
  <si>
    <t xml:space="preserve">ORD-00315</t>
  </si>
  <si>
    <t xml:space="preserve">ORD-00316</t>
  </si>
  <si>
    <t xml:space="preserve">ORD-00317</t>
  </si>
  <si>
    <t xml:space="preserve">ORD-00318</t>
  </si>
  <si>
    <t xml:space="preserve">ORD-00319</t>
  </si>
  <si>
    <t xml:space="preserve">ORD-00320</t>
  </si>
  <si>
    <t xml:space="preserve">ORD-00321</t>
  </si>
  <si>
    <t xml:space="preserve">ORD-00322</t>
  </si>
  <si>
    <t xml:space="preserve">ORD-00323</t>
  </si>
  <si>
    <t xml:space="preserve">ORD-00324</t>
  </si>
  <si>
    <t xml:space="preserve">ORD-00325</t>
  </si>
  <si>
    <t xml:space="preserve">ORD-00326</t>
  </si>
  <si>
    <t xml:space="preserve">ORD-00327</t>
  </si>
  <si>
    <t xml:space="preserve">ORD-00328</t>
  </si>
  <si>
    <t xml:space="preserve">ORD-00329</t>
  </si>
  <si>
    <t xml:space="preserve">ORD-00330</t>
  </si>
  <si>
    <t xml:space="preserve">ORD-00331</t>
  </si>
  <si>
    <t xml:space="preserve">ORD-00332</t>
  </si>
  <si>
    <t xml:space="preserve">ORD-00333</t>
  </si>
  <si>
    <t xml:space="preserve">ORD-00334</t>
  </si>
  <si>
    <t xml:space="preserve">ORD-00335</t>
  </si>
  <si>
    <t xml:space="preserve">ORD-00336</t>
  </si>
  <si>
    <t xml:space="preserve">ORD-00337</t>
  </si>
  <si>
    <t xml:space="preserve">ORD-00338</t>
  </si>
  <si>
    <t xml:space="preserve">ORD-00339</t>
  </si>
  <si>
    <t xml:space="preserve">ORD-00340</t>
  </si>
  <si>
    <t xml:space="preserve">ORD-00341</t>
  </si>
  <si>
    <t xml:space="preserve">ORD-00342</t>
  </si>
  <si>
    <t xml:space="preserve">ORD-00343</t>
  </si>
  <si>
    <t xml:space="preserve">ORD-00344</t>
  </si>
  <si>
    <t xml:space="preserve">ORD-00345</t>
  </si>
  <si>
    <t xml:space="preserve">ORD-00346</t>
  </si>
  <si>
    <t xml:space="preserve">ORD-00347</t>
  </si>
  <si>
    <t xml:space="preserve">ORD-00348</t>
  </si>
  <si>
    <t xml:space="preserve">ORD-00349</t>
  </si>
  <si>
    <t xml:space="preserve">ORD-00350</t>
  </si>
  <si>
    <t xml:space="preserve">ORD-00351</t>
  </si>
  <si>
    <t xml:space="preserve">ORD-00352</t>
  </si>
  <si>
    <t xml:space="preserve">ORD-00353</t>
  </si>
  <si>
    <t xml:space="preserve">ORD-00354</t>
  </si>
  <si>
    <t xml:space="preserve">ORD-00355</t>
  </si>
  <si>
    <t xml:space="preserve">ORD-00356</t>
  </si>
  <si>
    <t xml:space="preserve">ORD-00357</t>
  </si>
  <si>
    <t xml:space="preserve">ORD-00358</t>
  </si>
  <si>
    <t xml:space="preserve">ORD-00359</t>
  </si>
  <si>
    <t xml:space="preserve">ORD-00360</t>
  </si>
  <si>
    <t xml:space="preserve">ORD-00361</t>
  </si>
  <si>
    <t xml:space="preserve">ORD-00362</t>
  </si>
  <si>
    <t xml:space="preserve">ORD-00363</t>
  </si>
  <si>
    <t xml:space="preserve">ORD-00364</t>
  </si>
  <si>
    <t xml:space="preserve">ORD-00365</t>
  </si>
  <si>
    <t xml:space="preserve">ORD-00366</t>
  </si>
  <si>
    <t xml:space="preserve">ORD-00367</t>
  </si>
  <si>
    <t xml:space="preserve">ORD-00368</t>
  </si>
  <si>
    <t xml:space="preserve">ORD-00369</t>
  </si>
  <si>
    <t xml:space="preserve">ORD-00370</t>
  </si>
  <si>
    <t xml:space="preserve">ORD-00371</t>
  </si>
  <si>
    <t xml:space="preserve">ORD-00372</t>
  </si>
  <si>
    <t xml:space="preserve">ORD-00373</t>
  </si>
  <si>
    <t xml:space="preserve">ORD-00374</t>
  </si>
  <si>
    <t xml:space="preserve">ORD-00375</t>
  </si>
  <si>
    <t xml:space="preserve">ORD-00376</t>
  </si>
  <si>
    <t xml:space="preserve">ORD-00377</t>
  </si>
  <si>
    <t xml:space="preserve">ORD-00378</t>
  </si>
  <si>
    <t xml:space="preserve">ORD-00379</t>
  </si>
  <si>
    <t xml:space="preserve">ORD-00380</t>
  </si>
  <si>
    <t xml:space="preserve">ORD-00381</t>
  </si>
  <si>
    <t xml:space="preserve">ORD-00382</t>
  </si>
  <si>
    <t xml:space="preserve">ORD-00383</t>
  </si>
  <si>
    <t xml:space="preserve">ORD-00384</t>
  </si>
  <si>
    <t xml:space="preserve">ORD-00385</t>
  </si>
  <si>
    <t xml:space="preserve">ORD-00386</t>
  </si>
  <si>
    <t xml:space="preserve">ORD-00387</t>
  </si>
  <si>
    <t xml:space="preserve">ORD-00388</t>
  </si>
  <si>
    <t xml:space="preserve">ORD-00389</t>
  </si>
  <si>
    <t xml:space="preserve">ORD-00390</t>
  </si>
  <si>
    <t xml:space="preserve">ORD-00391</t>
  </si>
  <si>
    <t xml:space="preserve">ORD-00392</t>
  </si>
  <si>
    <t xml:space="preserve">ORD-00393</t>
  </si>
  <si>
    <t xml:space="preserve">ORD-00394</t>
  </si>
  <si>
    <t xml:space="preserve">ORD-00395</t>
  </si>
  <si>
    <t xml:space="preserve">ORD-00396</t>
  </si>
  <si>
    <t xml:space="preserve">ORD-00397</t>
  </si>
  <si>
    <t xml:space="preserve">ORD-00398</t>
  </si>
  <si>
    <t xml:space="preserve">ORD-00399</t>
  </si>
  <si>
    <t xml:space="preserve">ORD-00400</t>
  </si>
  <si>
    <t xml:space="preserve">ORD-00401</t>
  </si>
  <si>
    <t xml:space="preserve">ORD-00402</t>
  </si>
  <si>
    <t xml:space="preserve">ORD-00403</t>
  </si>
  <si>
    <t xml:space="preserve">ORD-00404</t>
  </si>
  <si>
    <t xml:space="preserve">ORD-00405</t>
  </si>
  <si>
    <t xml:space="preserve">ORD-00406</t>
  </si>
  <si>
    <t xml:space="preserve">ORD-00407</t>
  </si>
  <si>
    <t xml:space="preserve">ORD-00408</t>
  </si>
  <si>
    <t xml:space="preserve">ORD-00409</t>
  </si>
  <si>
    <t xml:space="preserve">ORD-00410</t>
  </si>
  <si>
    <t xml:space="preserve">ORD-00411</t>
  </si>
  <si>
    <t xml:space="preserve">ORD-00412</t>
  </si>
  <si>
    <t xml:space="preserve">ORD-00413</t>
  </si>
  <si>
    <t xml:space="preserve">ORD-00414</t>
  </si>
  <si>
    <t xml:space="preserve">ORD-00415</t>
  </si>
  <si>
    <t xml:space="preserve">ORD-00416</t>
  </si>
  <si>
    <t xml:space="preserve">ORD-00417</t>
  </si>
  <si>
    <t xml:space="preserve">ORD-00418</t>
  </si>
  <si>
    <t xml:space="preserve">ORD-00419</t>
  </si>
  <si>
    <t xml:space="preserve">ORD-00420</t>
  </si>
  <si>
    <t xml:space="preserve">ORD-00421</t>
  </si>
  <si>
    <t xml:space="preserve">ORD-00422</t>
  </si>
  <si>
    <t xml:space="preserve">ORD-00423</t>
  </si>
  <si>
    <t xml:space="preserve">ORD-00424</t>
  </si>
  <si>
    <t xml:space="preserve">ORD-00425</t>
  </si>
  <si>
    <t xml:space="preserve">ORD-00426</t>
  </si>
  <si>
    <t xml:space="preserve">ORD-00427</t>
  </si>
  <si>
    <t xml:space="preserve">ORD-00428</t>
  </si>
  <si>
    <t xml:space="preserve">ORD-00429</t>
  </si>
  <si>
    <t xml:space="preserve">ORD-00430</t>
  </si>
  <si>
    <t xml:space="preserve">ORD-00431</t>
  </si>
  <si>
    <t xml:space="preserve">ORD-00432</t>
  </si>
  <si>
    <t xml:space="preserve">ORD-00433</t>
  </si>
  <si>
    <t xml:space="preserve">ORD-00434</t>
  </si>
  <si>
    <t xml:space="preserve">ORD-00435</t>
  </si>
  <si>
    <t xml:space="preserve">ORD-00436</t>
  </si>
  <si>
    <t xml:space="preserve">ORD-00437</t>
  </si>
  <si>
    <t xml:space="preserve">ORD-00438</t>
  </si>
  <si>
    <t xml:space="preserve">ORD-00439</t>
  </si>
  <si>
    <t xml:space="preserve">ORD-00440</t>
  </si>
  <si>
    <t xml:space="preserve">ORD-00441</t>
  </si>
  <si>
    <t xml:space="preserve">ORD-00442</t>
  </si>
  <si>
    <t xml:space="preserve">ORD-00443</t>
  </si>
  <si>
    <t xml:space="preserve">ORD-00444</t>
  </si>
  <si>
    <t xml:space="preserve">ORD-00445</t>
  </si>
  <si>
    <t xml:space="preserve">ORD-00446</t>
  </si>
  <si>
    <t xml:space="preserve">ORD-00447</t>
  </si>
  <si>
    <t xml:space="preserve">ORD-00448</t>
  </si>
  <si>
    <t xml:space="preserve">ORD-00449</t>
  </si>
  <si>
    <t xml:space="preserve">ORD-00450</t>
  </si>
  <si>
    <t xml:space="preserve">ORD-00451</t>
  </si>
  <si>
    <t xml:space="preserve">ORD-00452</t>
  </si>
  <si>
    <t xml:space="preserve">ORD-00453</t>
  </si>
  <si>
    <t xml:space="preserve">ORD-00454</t>
  </si>
  <si>
    <t xml:space="preserve">ORD-00455</t>
  </si>
  <si>
    <t xml:space="preserve">ORD-00456</t>
  </si>
  <si>
    <t xml:space="preserve">ORD-00457</t>
  </si>
  <si>
    <t xml:space="preserve">ORD-00458</t>
  </si>
  <si>
    <t xml:space="preserve">ORD-00459</t>
  </si>
  <si>
    <t xml:space="preserve">ORD-00460</t>
  </si>
  <si>
    <t xml:space="preserve">ORD-00461</t>
  </si>
  <si>
    <t xml:space="preserve">ORD-00462</t>
  </si>
  <si>
    <t xml:space="preserve">ORD-00463</t>
  </si>
  <si>
    <t xml:space="preserve">ORD-00464</t>
  </si>
  <si>
    <t xml:space="preserve">ORD-00465</t>
  </si>
  <si>
    <t xml:space="preserve">ORD-00466</t>
  </si>
  <si>
    <t xml:space="preserve">ORD-00467</t>
  </si>
  <si>
    <t xml:space="preserve">ORD-00468</t>
  </si>
  <si>
    <t xml:space="preserve">ORD-00469</t>
  </si>
  <si>
    <t xml:space="preserve">ORD-00470</t>
  </si>
  <si>
    <t xml:space="preserve">ORD-00471</t>
  </si>
  <si>
    <t xml:space="preserve">ORD-00472</t>
  </si>
  <si>
    <t xml:space="preserve">ORD-00473</t>
  </si>
  <si>
    <t xml:space="preserve">ORD-00474</t>
  </si>
  <si>
    <t xml:space="preserve">ORD-00475</t>
  </si>
  <si>
    <t xml:space="preserve">ORD-00476</t>
  </si>
  <si>
    <t xml:space="preserve">ORD-00477</t>
  </si>
  <si>
    <t xml:space="preserve">ORD-00478</t>
  </si>
  <si>
    <t xml:space="preserve">ORD-00479</t>
  </si>
  <si>
    <t xml:space="preserve">ORD-00480</t>
  </si>
  <si>
    <t xml:space="preserve">ORD-00481</t>
  </si>
  <si>
    <t xml:space="preserve">ORD-00482</t>
  </si>
  <si>
    <t xml:space="preserve">ORD-00483</t>
  </si>
  <si>
    <t xml:space="preserve">ORD-00484</t>
  </si>
  <si>
    <t xml:space="preserve">ORD-00485</t>
  </si>
  <si>
    <t xml:space="preserve">ORD-00486</t>
  </si>
  <si>
    <t xml:space="preserve">ORD-00487</t>
  </si>
  <si>
    <t xml:space="preserve">ORD-00488</t>
  </si>
  <si>
    <t xml:space="preserve">ORD-00489</t>
  </si>
  <si>
    <t xml:space="preserve">ORD-00490</t>
  </si>
  <si>
    <t xml:space="preserve">ORD-00491</t>
  </si>
  <si>
    <t xml:space="preserve">ORD-00492</t>
  </si>
  <si>
    <t xml:space="preserve">ORD-00493</t>
  </si>
  <si>
    <t xml:space="preserve">ORD-00494</t>
  </si>
  <si>
    <t xml:space="preserve">ORD-00495</t>
  </si>
  <si>
    <t xml:space="preserve">ORD-00496</t>
  </si>
  <si>
    <t xml:space="preserve">ORD-00497</t>
  </si>
  <si>
    <t xml:space="preserve">ORD-00498</t>
  </si>
  <si>
    <t xml:space="preserve">ORD-00499</t>
  </si>
  <si>
    <t xml:space="preserve">ORD-00500</t>
  </si>
  <si>
    <t xml:space="preserve">ORD-00501</t>
  </si>
  <si>
    <t xml:space="preserve">ORD-00502</t>
  </si>
  <si>
    <t xml:space="preserve">ORD-00503</t>
  </si>
  <si>
    <t xml:space="preserve">ORD-00504</t>
  </si>
  <si>
    <t xml:space="preserve">ORD-00505</t>
  </si>
  <si>
    <t xml:space="preserve">ORD-00506</t>
  </si>
  <si>
    <t xml:space="preserve">ORD-00507</t>
  </si>
  <si>
    <t xml:space="preserve">ORD-00508</t>
  </si>
  <si>
    <t xml:space="preserve">ORD-00509</t>
  </si>
  <si>
    <t xml:space="preserve">ORD-00510</t>
  </si>
  <si>
    <t xml:space="preserve">ORD-00511</t>
  </si>
  <si>
    <t xml:space="preserve">ORD-00512</t>
  </si>
  <si>
    <t xml:space="preserve">ORD-00513</t>
  </si>
  <si>
    <t xml:space="preserve">ORD-00514</t>
  </si>
  <si>
    <t xml:space="preserve">ORD-00515</t>
  </si>
  <si>
    <t xml:space="preserve">ORD-00516</t>
  </si>
  <si>
    <t xml:space="preserve">ORD-00517</t>
  </si>
  <si>
    <t xml:space="preserve">ORD-00518</t>
  </si>
  <si>
    <t xml:space="preserve">ORD-00519</t>
  </si>
  <si>
    <t xml:space="preserve">ORD-00520</t>
  </si>
  <si>
    <t xml:space="preserve">ORD-00521</t>
  </si>
  <si>
    <t xml:space="preserve">ORD-00522</t>
  </si>
  <si>
    <t xml:space="preserve">ORD-00523</t>
  </si>
  <si>
    <t xml:space="preserve">ORD-00524</t>
  </si>
  <si>
    <t xml:space="preserve">ORD-00525</t>
  </si>
  <si>
    <t xml:space="preserve">ORD-00526</t>
  </si>
  <si>
    <t xml:space="preserve">ORD-00527</t>
  </si>
  <si>
    <t xml:space="preserve">ORD-00528</t>
  </si>
  <si>
    <t xml:space="preserve">ORD-00529</t>
  </si>
  <si>
    <t xml:space="preserve">ORD-00530</t>
  </si>
  <si>
    <t xml:space="preserve">ORD-00531</t>
  </si>
  <si>
    <t xml:space="preserve">ORD-00532</t>
  </si>
  <si>
    <t xml:space="preserve">ORD-00533</t>
  </si>
  <si>
    <t xml:space="preserve">ORD-00534</t>
  </si>
  <si>
    <t xml:space="preserve">ORD-00535</t>
  </si>
  <si>
    <t xml:space="preserve">ORD-00536</t>
  </si>
  <si>
    <t xml:space="preserve">ORD-00537</t>
  </si>
  <si>
    <t xml:space="preserve">ORD-00538</t>
  </si>
  <si>
    <t xml:space="preserve">ORD-00539</t>
  </si>
  <si>
    <t xml:space="preserve">ORD-00540</t>
  </si>
  <si>
    <t xml:space="preserve">ORD-00541</t>
  </si>
  <si>
    <t xml:space="preserve">ORD-00542</t>
  </si>
  <si>
    <t xml:space="preserve">ORD-00543</t>
  </si>
  <si>
    <t xml:space="preserve">ORD-00544</t>
  </si>
  <si>
    <t xml:space="preserve">ORD-00545</t>
  </si>
  <si>
    <t xml:space="preserve">ORD-00546</t>
  </si>
  <si>
    <t xml:space="preserve">ORD-00547</t>
  </si>
  <si>
    <t xml:space="preserve">ORD-00548</t>
  </si>
  <si>
    <t xml:space="preserve">ORD-00549</t>
  </si>
  <si>
    <t xml:space="preserve">ORD-00550</t>
  </si>
  <si>
    <t xml:space="preserve">ORD-00551</t>
  </si>
  <si>
    <t xml:space="preserve">ORD-00552</t>
  </si>
  <si>
    <t xml:space="preserve">ORD-00553</t>
  </si>
  <si>
    <t xml:space="preserve">ORD-00554</t>
  </si>
  <si>
    <t xml:space="preserve">ORD-00555</t>
  </si>
  <si>
    <t xml:space="preserve">ORD-00556</t>
  </si>
  <si>
    <t xml:space="preserve">ORD-00557</t>
  </si>
  <si>
    <t xml:space="preserve">ORD-00558</t>
  </si>
  <si>
    <t xml:space="preserve">ORD-00559</t>
  </si>
  <si>
    <t xml:space="preserve">ORD-00560</t>
  </si>
  <si>
    <t xml:space="preserve">ORD-00561</t>
  </si>
  <si>
    <t xml:space="preserve">ORD-00562</t>
  </si>
  <si>
    <t xml:space="preserve">ORD-00563</t>
  </si>
  <si>
    <t xml:space="preserve">ORD-00564</t>
  </si>
  <si>
    <t xml:space="preserve">ORD-00565</t>
  </si>
  <si>
    <t xml:space="preserve">ORD-00566</t>
  </si>
  <si>
    <t xml:space="preserve">ORD-00567</t>
  </si>
  <si>
    <t xml:space="preserve">ORD-00568</t>
  </si>
  <si>
    <t xml:space="preserve">ORD-00569</t>
  </si>
  <si>
    <t xml:space="preserve">ORD-00570</t>
  </si>
  <si>
    <t xml:space="preserve">ORD-00571</t>
  </si>
  <si>
    <t xml:space="preserve">ORD-00572</t>
  </si>
  <si>
    <t xml:space="preserve">ORD-00573</t>
  </si>
  <si>
    <t xml:space="preserve">ORD-00574</t>
  </si>
  <si>
    <t xml:space="preserve">ORD-00575</t>
  </si>
  <si>
    <t xml:space="preserve">ORD-00576</t>
  </si>
  <si>
    <t xml:space="preserve">ORD-00577</t>
  </si>
  <si>
    <t xml:space="preserve">ORD-00578</t>
  </si>
  <si>
    <t xml:space="preserve">ORD-00579</t>
  </si>
  <si>
    <t xml:space="preserve">ORD-00580</t>
  </si>
  <si>
    <t xml:space="preserve">ORD-00581</t>
  </si>
  <si>
    <t xml:space="preserve">ORD-00582</t>
  </si>
  <si>
    <t xml:space="preserve">ORD-00583</t>
  </si>
  <si>
    <t xml:space="preserve">ORD-00584</t>
  </si>
  <si>
    <t xml:space="preserve">ORD-00585</t>
  </si>
  <si>
    <t xml:space="preserve">ORD-00586</t>
  </si>
  <si>
    <t xml:space="preserve">ORD-00587</t>
  </si>
  <si>
    <t xml:space="preserve">ORD-00588</t>
  </si>
  <si>
    <t xml:space="preserve">ORD-00589</t>
  </si>
  <si>
    <t xml:space="preserve">ORD-00590</t>
  </si>
  <si>
    <t xml:space="preserve">ORD-00591</t>
  </si>
  <si>
    <t xml:space="preserve">ORD-00592</t>
  </si>
  <si>
    <t xml:space="preserve">ORD-00593</t>
  </si>
  <si>
    <t xml:space="preserve">ORD-00594</t>
  </si>
  <si>
    <t xml:space="preserve">ORD-00595</t>
  </si>
  <si>
    <t xml:space="preserve">ORD-00596</t>
  </si>
  <si>
    <t xml:space="preserve">ORD-00597</t>
  </si>
  <si>
    <t xml:space="preserve">ORD-00598</t>
  </si>
  <si>
    <t xml:space="preserve">ORD-00599</t>
  </si>
  <si>
    <t xml:space="preserve">ORD-00600</t>
  </si>
  <si>
    <t xml:space="preserve">ORD-00601</t>
  </si>
  <si>
    <t xml:space="preserve">ORD-00602</t>
  </si>
  <si>
    <t xml:space="preserve">ORD-00603</t>
  </si>
  <si>
    <t xml:space="preserve">ORD-00604</t>
  </si>
  <si>
    <t xml:space="preserve">ORD-00605</t>
  </si>
  <si>
    <t xml:space="preserve">ORD-00606</t>
  </si>
  <si>
    <t xml:space="preserve">ORD-00607</t>
  </si>
  <si>
    <t xml:space="preserve">ORD-00608</t>
  </si>
  <si>
    <t xml:space="preserve">ORD-00609</t>
  </si>
  <si>
    <t xml:space="preserve">ORD-00610</t>
  </si>
  <si>
    <t xml:space="preserve">ORD-00611</t>
  </si>
  <si>
    <t xml:space="preserve">ORD-00612</t>
  </si>
  <si>
    <t xml:space="preserve">ORD-00613</t>
  </si>
  <si>
    <t xml:space="preserve">ORD-00614</t>
  </si>
  <si>
    <t xml:space="preserve">ORD-00615</t>
  </si>
  <si>
    <t xml:space="preserve">ORD-00616</t>
  </si>
  <si>
    <t xml:space="preserve">ORD-00617</t>
  </si>
  <si>
    <t xml:space="preserve">ORD-00618</t>
  </si>
  <si>
    <t xml:space="preserve">ORD-00619</t>
  </si>
  <si>
    <t xml:space="preserve">ORD-00620</t>
  </si>
  <si>
    <t xml:space="preserve">ORD-00621</t>
  </si>
  <si>
    <t xml:space="preserve">ORD-00622</t>
  </si>
  <si>
    <t xml:space="preserve">ORD-00623</t>
  </si>
  <si>
    <t xml:space="preserve">ORD-00624</t>
  </si>
  <si>
    <t xml:space="preserve">ORD-00625</t>
  </si>
  <si>
    <t xml:space="preserve">ORD-00626</t>
  </si>
  <si>
    <t xml:space="preserve">ORD-00627</t>
  </si>
  <si>
    <t xml:space="preserve">ORD-00628</t>
  </si>
  <si>
    <t xml:space="preserve">ORD-00629</t>
  </si>
  <si>
    <t xml:space="preserve">ORD-00630</t>
  </si>
  <si>
    <t xml:space="preserve">ORD-00631</t>
  </si>
  <si>
    <t xml:space="preserve">ORD-00632</t>
  </si>
  <si>
    <t xml:space="preserve">ORD-00633</t>
  </si>
  <si>
    <t xml:space="preserve">ORD-00634</t>
  </si>
  <si>
    <t xml:space="preserve">ORD-00635</t>
  </si>
  <si>
    <t xml:space="preserve">ORD-00636</t>
  </si>
  <si>
    <t xml:space="preserve">ORD-00637</t>
  </si>
  <si>
    <t xml:space="preserve">ORD-00638</t>
  </si>
  <si>
    <t xml:space="preserve">ORD-00639</t>
  </si>
  <si>
    <t xml:space="preserve">ORD-00640</t>
  </si>
  <si>
    <t xml:space="preserve">ORD-00641</t>
  </si>
  <si>
    <t xml:space="preserve">ORD-00642</t>
  </si>
  <si>
    <t xml:space="preserve">ORD-00643</t>
  </si>
  <si>
    <t xml:space="preserve">ORD-00644</t>
  </si>
  <si>
    <t xml:space="preserve">ORD-00645</t>
  </si>
  <si>
    <t xml:space="preserve">ORD-00646</t>
  </si>
  <si>
    <t xml:space="preserve">ORD-00647</t>
  </si>
  <si>
    <t xml:space="preserve">ORD-00648</t>
  </si>
  <si>
    <t xml:space="preserve">ORD-00649</t>
  </si>
  <si>
    <t xml:space="preserve">ORD-00650</t>
  </si>
  <si>
    <t xml:space="preserve">Calculation sheet (feeds Dashboard charts - do not edit)</t>
  </si>
  <si>
    <t xml:space="preserve">Year criteria</t>
  </si>
  <si>
    <t xml:space="preserve">Region criteria</t>
  </si>
  <si>
    <t xml:space="preserve">Category criteria</t>
  </si>
  <si>
    <t xml:space="preserve">Monthly trend</t>
  </si>
  <si>
    <t xml:space="preserve">Month #</t>
  </si>
  <si>
    <t xml:space="preserve">Revenue</t>
  </si>
  <si>
    <t xml:space="preserve">Profit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</si>
  <si>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</si>
  <si>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</si>
  <si>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</si>
  <si>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</si>
  <si>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</si>
  <si>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</si>
  <si>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</si>
  <si>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</si>
  <si>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</si>
  <si>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</si>
  <si>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</si>
  <si>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</si>
  <si>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Revenue by region</t>
  </si>
  <si>
    <t xml:space="preserve">Revenue by category</t>
  </si>
  <si>
    <t xml:space="preserve">Margin</t>
  </si>
  <si>
    <t xml:space="preserve">Revenue by product</t>
  </si>
  <si>
    <t xml:space="preserve">Units</t>
  </si>
  <si>
    <t xml:space="preserve">Rank key</t>
  </si>
  <si>
    <t xml:space="preserve">Top 5 products (by revenue)</t>
  </si>
  <si>
    <t xml:space="preserve">Rank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</si>
</sst>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"/>
    <numFmt numFmtId="166" formatCode="0.0%"/>
    <numFmt numFmtId="167" formatCode="#,##0"/>
    <numFmt numFmtId="168" formatCode="dd\-mmm\-yyyy"/>
    <numFmt numFmtId="169" formatCode="0"/>
    <numFmt numFmtId="170" formatCode="#,##0.0000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D6E2F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222222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1F3A5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222222"/>
      </patternFill>
    </fill>
    <fill>
      <patternFill patternType="solid">
        <fgColor rgb="FFFFF3B0"/>
        <bgColor rgb="FFF1F5F9"/>
      </patternFill>
    </fill>
    <fill>
      <patternFill patternType="solid">
        <fgColor rgb="FF2A9D8F"/>
        <bgColor rgb="FF008080"/>
      </patternFill>
    </fill>
    <fill>
      <patternFill patternType="solid">
        <fgColor rgb="FFE76F51"/>
        <bgColor rgb="FFFF6600"/>
      </patternFill>
    </fill>
    <fill>
      <patternFill patternType="solid">
        <fgColor rgb="FFF1F5F9"/>
        <bgColor rgb="FFFFFFFF"/>
      </patternFill>
    </fill>
    <fill>
      <patternFill patternType="solid">
        <fgColor rgb="FFFFFFFF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7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78787"/>
      <rgbColor rgb="FF9999FF"/>
      <rgbColor rgb="FF993366"/>
      <rgbColor rgb="FFF1F5F9"/>
      <rgbColor rgb="FFD6E2F0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E9C46A"/>
      <rgbColor rgb="FF4F81BD"/>
      <rgbColor rgb="FF33CCCC"/>
      <rgbColor rgb="FF99CC00"/>
      <rgbColor rgb="FFFFCC00"/>
      <rgbColor rgb="FFFF9900"/>
      <rgbColor rgb="FFFF6600"/>
      <rgbColor rgb="FF666666"/>
      <rgbColor rgb="FF777777"/>
      <rgbColor rgb="FF1F3A5F"/>
      <rgbColor rgb="FF2A9D8F"/>
      <rgbColor rgb="FF003300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&amp; Profit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Calc!C6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a5f"/>
            </a:solidFill>
            <a:ln w="280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Calc!$C$7:$C$18</c:f>
              <c:numCache>
                <c:formatCode>#,##0</c:formatCode>
                <c:ptCount val="12"/>
                <c:pt idx="0">
                  <c:v>3001373</c:v>
                </c:pt>
                <c:pt idx="1">
                  <c:v>1748429</c:v>
                </c:pt>
                <c:pt idx="2">
                  <c:v>3328061</c:v>
                </c:pt>
                <c:pt idx="3">
                  <c:v>3307596</c:v>
                </c:pt>
                <c:pt idx="4">
                  <c:v>2496977</c:v>
                </c:pt>
                <c:pt idx="5">
                  <c:v>2704399</c:v>
                </c:pt>
                <c:pt idx="6">
                  <c:v>3696161</c:v>
                </c:pt>
                <c:pt idx="7">
                  <c:v>3418523</c:v>
                </c:pt>
                <c:pt idx="8">
                  <c:v>3387651</c:v>
                </c:pt>
                <c:pt idx="9">
                  <c:v>1778743</c:v>
                </c:pt>
                <c:pt idx="10">
                  <c:v>1909288</c:v>
                </c:pt>
                <c:pt idx="11">
                  <c:v>2206876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Calc!D6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a9d8f"/>
            </a:solidFill>
            <a:ln w="28080">
              <a:solidFill>
                <a:srgbClr val="2a9d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Calc!$D$7:$D$18</c:f>
              <c:numCache>
                <c:formatCode>#,##0</c:formatCode>
                <c:ptCount val="12"/>
                <c:pt idx="0">
                  <c:v>1133553</c:v>
                </c:pt>
                <c:pt idx="1">
                  <c:v>753589</c:v>
                </c:pt>
                <c:pt idx="2">
                  <c:v>1340441</c:v>
                </c:pt>
                <c:pt idx="3">
                  <c:v>1327276</c:v>
                </c:pt>
                <c:pt idx="4">
                  <c:v>1190357</c:v>
                </c:pt>
                <c:pt idx="5">
                  <c:v>1124079</c:v>
                </c:pt>
                <c:pt idx="6">
                  <c:v>1527611</c:v>
                </c:pt>
                <c:pt idx="7">
                  <c:v>1483183</c:v>
                </c:pt>
                <c:pt idx="8">
                  <c:v>1352311</c:v>
                </c:pt>
                <c:pt idx="9">
                  <c:v>683363</c:v>
                </c:pt>
                <c:pt idx="10">
                  <c:v>866068</c:v>
                </c:pt>
                <c:pt idx="11">
                  <c:v>905086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785250"/>
        <c:axId val="8641606"/>
      </c:lineChart>
      <c:catAx>
        <c:axId val="17785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1606"/>
        <c:crosses val="autoZero"/>
        <c:auto val="1"/>
        <c:lblAlgn val="ctr"/>
        <c:lblOffset val="100"/>
        <c:noMultiLvlLbl val="0"/>
      </c:catAx>
      <c:valAx>
        <c:axId val="8641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852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Calc!$A$22:$A$26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Calc!$B$22:$B$26</c:f>
              <c:numCache>
                <c:formatCode>#,##0</c:formatCode>
                <c:ptCount val="5"/>
                <c:pt idx="0">
                  <c:v>6365822</c:v>
                </c:pt>
                <c:pt idx="1">
                  <c:v>9152597</c:v>
                </c:pt>
                <c:pt idx="2">
                  <c:v>5176718</c:v>
                </c:pt>
                <c:pt idx="3">
                  <c:v>7270578</c:v>
                </c:pt>
                <c:pt idx="4">
                  <c:v>5018362</c:v>
                </c:pt>
              </c:numCache>
            </c:numRef>
          </c:val>
        </c:ser>
        <c:gapWidth val="150"/>
        <c:overlap val="0"/>
        <c:axId val="53473038"/>
        <c:axId val="34990822"/>
      </c:barChart>
      <c:catAx>
        <c:axId val="534730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90822"/>
        <c:crosses val="autoZero"/>
        <c:auto val="1"/>
        <c:lblAlgn val="ctr"/>
        <c:lblOffset val="100"/>
        <c:noMultiLvlLbl val="0"/>
      </c:catAx>
      <c:valAx>
        <c:axId val="34990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730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Calc!B30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a5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a9d8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76f51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9c46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Calc!$A$31:$A$34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Software</c:v>
                </c:pt>
              </c:strCache>
            </c:strRef>
          </c:cat>
          <c:val>
            <c:numRef>
              <c:f>Calc!$B$31:$B$34</c:f>
              <c:numCache>
                <c:formatCode>#,##0</c:formatCode>
                <c:ptCount val="4"/>
                <c:pt idx="0">
                  <c:v>12949330</c:v>
                </c:pt>
                <c:pt idx="1">
                  <c:v>5495670</c:v>
                </c:pt>
                <c:pt idx="2">
                  <c:v>4619417</c:v>
                </c:pt>
                <c:pt idx="3">
                  <c:v>9919660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Products by Revenue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Calc!C54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76f51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Calc!$B$55:$B$59</c:f>
              <c:strCache>
                <c:ptCount val="5"/>
                <c:pt idx="0">
                  <c:v>Laptop Pro 15</c:v>
                </c:pt>
                <c:pt idx="1">
                  <c:v>Productivity Suite License</c:v>
                </c:pt>
                <c:pt idx="2">
                  <c:v>Cloud Storage Plan</c:v>
                </c:pt>
                <c:pt idx="3">
                  <c:v>Wireless Earbuds</c:v>
                </c:pt>
                <c:pt idx="4">
                  <c:v>Ergonomic Chair</c:v>
                </c:pt>
              </c:strCache>
            </c:strRef>
          </c:cat>
          <c:val>
            <c:numRef>
              <c:f>Calc!$C$55:$C$59</c:f>
              <c:numCache>
                <c:formatCode>#,##0</c:formatCode>
                <c:ptCount val="5"/>
                <c:pt idx="0">
                  <c:v>7897060</c:v>
                </c:pt>
                <c:pt idx="1">
                  <c:v>4465520</c:v>
                </c:pt>
                <c:pt idx="2">
                  <c:v>4373710</c:v>
                </c:pt>
                <c:pt idx="3">
                  <c:v>2602870</c:v>
                </c:pt>
                <c:pt idx="4">
                  <c:v>2466650</c:v>
                </c:pt>
              </c:numCache>
            </c:numRef>
          </c:val>
        </c:ser>
        <c:gapWidth val="150"/>
        <c:overlap val="0"/>
        <c:axId val="58778909"/>
        <c:axId val="78109908"/>
      </c:barChart>
      <c:catAx>
        <c:axId val="5877890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09908"/>
        <c:crosses val="autoZero"/>
        <c:auto val="1"/>
        <c:lblAlgn val="ctr"/>
        <c:lblOffset val="100"/>
        <c:noMultiLvlLbl val="0"/>
      </c:catAx>
      <c:valAx>
        <c:axId val="781099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789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7</xdr:col>
      <xdr:colOff>442080</xdr:colOff>
      <xdr:row>23</xdr:row>
      <xdr:rowOff>68400</xdr:rowOff>
    </xdr:to>
    <xdr:graphicFrame>
      <xdr:nvGraphicFramePr>
        <xdr:cNvPr id="0" name="Chart 1"/>
        <xdr:cNvGraphicFramePr/>
      </xdr:nvGraphicFramePr>
      <xdr:xfrm>
        <a:off x="141120" y="2476440"/>
        <a:ext cx="59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12</xdr:col>
      <xdr:colOff>637920</xdr:colOff>
      <xdr:row>23</xdr:row>
      <xdr:rowOff>68400</xdr:rowOff>
    </xdr:to>
    <xdr:graphicFrame>
      <xdr:nvGraphicFramePr>
        <xdr:cNvPr id="1" name="Chart 2"/>
        <xdr:cNvGraphicFramePr/>
      </xdr:nvGraphicFramePr>
      <xdr:xfrm>
        <a:off x="5638680" y="2476440"/>
        <a:ext cx="52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442080</xdr:colOff>
      <xdr:row>39</xdr:row>
      <xdr:rowOff>68760</xdr:rowOff>
    </xdr:to>
    <xdr:graphicFrame>
      <xdr:nvGraphicFramePr>
        <xdr:cNvPr id="2" name="Chart 3"/>
        <xdr:cNvGraphicFramePr/>
      </xdr:nvGraphicFramePr>
      <xdr:xfrm>
        <a:off x="141120" y="5524560"/>
        <a:ext cx="59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12</xdr:col>
      <xdr:colOff>637920</xdr:colOff>
      <xdr:row>39</xdr:row>
      <xdr:rowOff>68760</xdr:rowOff>
    </xdr:to>
    <xdr:graphicFrame>
      <xdr:nvGraphicFramePr>
        <xdr:cNvPr id="3" name="Chart 4"/>
        <xdr:cNvGraphicFramePr/>
      </xdr:nvGraphicFramePr>
      <xdr:xfrm>
        <a:off x="5638680" y="5524560"/>
        <a:ext cx="52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L651" headerRowCount="1" totalsRowCount="0" totalsRowShown="0">
  <autoFilter ref="A1:L651"/>
  <tableColumns count="12">
    <tableColumn id="1" name="Order ID"/>
    <tableColumn id="2" name="Date"/>
    <tableColumn id="3" name="Year"/>
    <tableColumn id="4" name="Month"/>
    <tableColumn id="5" name="Region"/>
    <tableColumn id="6" name="Category"/>
    <tableColumn id="7" name="Product"/>
    <tableColumn id="8" name="Quantity"/>
    <tableColumn id="9" name="Unit Price (₹)"/>
    <tableColumn id="10" name="Unit Cost (₹)"/>
    <tableColumn id="11" name="Revenue (₹)"/>
    <tableColumn id="12" name="Profit (₹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  <col collapsed="false" customWidth="true" hidden="false" outlineLevel="0" max="14" min="14" style="0" width="2"/>
  </cols>
  <sheetData>
    <row r="1" customFormat="false" ht="33.75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5" customFormat="false" ht="24" hidden="false" customHeight="true" outlineLevel="0" collapsed="false">
      <c r="B5" s="4" t="s">
        <v>2</v>
      </c>
      <c r="C5" s="5" t="s">
        <v>3</v>
      </c>
      <c r="E5" s="4" t="s">
        <v>4</v>
      </c>
      <c r="F5" s="5" t="s">
        <v>3</v>
      </c>
      <c r="H5" s="4" t="s">
        <v>5</v>
      </c>
      <c r="I5" s="5" t="s">
        <v>3</v>
      </c>
      <c r="K5" s="6" t="s">
        <v>6</v>
      </c>
    </row>
    <row r="7" customFormat="false" ht="19.5" hidden="false" customHeight="true" outlineLevel="0" collapsed="false">
      <c r="B7" s="7" t="s">
        <v>7</v>
      </c>
      <c r="C7" s="7"/>
      <c r="D7" s="8" t="s">
        <v>8</v>
      </c>
      <c r="E7" s="8"/>
      <c r="F7" s="9" t="s">
        <v>9</v>
      </c>
      <c r="G7" s="9"/>
      <c r="H7" s="7" t="s">
        <v>10</v>
      </c>
      <c r="I7" s="7"/>
      <c r="J7" s="8" t="s">
        <v>11</v>
      </c>
      <c r="K7" s="8"/>
      <c r="L7" s="9" t="s">
        <v>12</v>
      </c>
      <c r="M7" s="9"/>
    </row>
    <row r="8" customFormat="false" ht="39.75" hidden="false" customHeight="true" outlineLevel="0" collapsed="false">
      <c r="B8" s="10" t="n">
        <f aca="false">SUMIFS(Data!$K$2:$K$5000,Data!$C$2:$C$5000,Calc!$B$2,Data!$E$2:$E$5000,Calc!$B$3,Data!$F$2:$F$5000,Calc!$B$4)</f>
        <v>32984077</v>
      </c>
      <c r="C8" s="10"/>
      <c r="D8" s="10" t="n">
        <f aca="false">SUMIFS(Data!$L$2:$L$5000,Data!$C$2:$C$5000,Calc!$B$2,Data!$E$2:$E$5000,Calc!$B$3,Data!$F$2:$F$5000,Calc!$B$4)</f>
        <v>13686917</v>
      </c>
      <c r="E8" s="10"/>
      <c r="F8" s="11" t="n">
        <f aca="false">IFERROR((SUMIFS(Data!$L$2:$L$5000,Data!$C$2:$C$5000,Calc!$B$2,Data!$E$2:$E$5000,Calc!$B$3,Data!$F$2:$F$5000,Calc!$B$4))/(SUMIFS(Data!$K$2:$K$5000,Data!$C$2:$C$5000,Calc!$B$2,Data!$E$2:$E$5000,Calc!$B$3,Data!$F$2:$F$5000,Calc!$B$4)),0)</f>
        <v>0.414955282817221</v>
      </c>
      <c r="G8" s="11"/>
      <c r="H8" s="12" t="n">
        <f aca="false">COUNTIFS(Data!$C$2:$C$5000,Calc!$B$2,Data!$E$2:$E$5000,Calc!$B$3,Data!$F$2:$F$5000,Calc!$B$4)</f>
        <v>650</v>
      </c>
      <c r="I8" s="12"/>
      <c r="J8" s="12" t="n">
        <f aca="false">SUMIFS(Data!$H$2:$H$5000,Data!$C$2:$C$5000,Calc!$B$2,Data!$E$2:$E$5000,Calc!$B$3,Data!$F$2:$F$5000,Calc!$B$4)</f>
        <v>10274</v>
      </c>
      <c r="K8" s="12"/>
      <c r="L8" s="10" t="n">
        <f aca="false">IFERROR((SUMIFS(Data!$K$2:$K$5000,Data!$C$2:$C$5000,Calc!$B$2,Data!$E$2:$E$5000,Calc!$B$3,Data!$F$2:$F$5000,Calc!$B$4))/(COUNTIFS(Data!$C$2:$C$5000,Calc!$B$2,Data!$E$2:$E$5000,Calc!$B$3,Data!$F$2:$F$5000,Calc!$B$4)),0)</f>
        <v>50744.7338461538</v>
      </c>
      <c r="M8" s="10"/>
    </row>
    <row r="42" customFormat="false" ht="21.75" hidden="false" customHeight="true" outlineLevel="0" collapsed="false">
      <c r="B42" s="13" t="s">
        <v>13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customFormat="false" ht="24" hidden="false" customHeight="true" outlineLevel="0" collapsed="false">
      <c r="B43" s="14" t="str">
        <f aca="false">"Top product: "&amp;Calc!B55&amp;" with ₹"&amp;TEXT(Calc!C55,"#,##0")&amp;" revenue ("&amp;TEXT(IFERROR(Calc!C55/(SUMIFS(Data!$K$2:$K$5000,Data!$C$2:$C$5000,Calc!$B$2,Data!$E$2:$E$5000,Calc!$B$3,Data!$F$2:$F$5000,Calc!$B$4)),0),"0.0%")&amp;" of the total)."</f>
        <v>Top product: Laptop Pro 15 with ₹7,897,060 revenue (23.9% of the total).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customFormat="false" ht="24" hidden="false" customHeight="true" outlineLevel="0" collapsed="false">
      <c r="B44" s="15" t="str">
        <f aca="false">"Best month: "&amp;INDEX(Calc!A7:A18,MATCH(MAX(Calc!C7:C18),Calc!C7:C18,0))&amp;" with ₹"&amp;TEXT(MAX(Calc!C7:C18),"#,##0")&amp;" revenue; weakest month: "&amp;INDEX(Calc!A7:A18,MATCH(MIN(Calc!C7:C18),Calc!C7:C18,0))&amp;" (₹"&amp;TEXT(MIN(Calc!C7:C18),"#,##0")&amp;")."</f>
        <v>Best month: Jul with ₹3,696,161 revenue; weakest month: Feb (₹1,748,429).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customFormat="false" ht="24" hidden="false" customHeight="true" outlineLevel="0" collapsed="false">
      <c r="B45" s="14" t="str">
        <f aca="false">"Strongest region: "&amp;INDEX(Calc!A22:A26,MATCH(MAX(Calc!B22:B26),Calc!B22:B26,0))&amp;" (₹"&amp;TEXT(MAX(Calc!B22:B26),"#,##0")&amp;", "&amp;TEXT(IFERROR(MAX(Calc!B22:B26)/SUM(Calc!B22:B26),0),"0.0%")&amp;" share); weakest: "&amp;INDEX(Calc!A22:A26,MATCH(MIN(Calc!B22:B26),Calc!B22:B26,0))&amp;"."</f>
        <v>Strongest region: South (₹9,152,597, 27.7% share); weakest: Central.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customFormat="false" ht="24" hidden="false" customHeight="true" outlineLevel="0" collapsed="false">
      <c r="B46" s="15" t="str">
        <f aca="false">"Largest category by revenue: "&amp;INDEX(Calc!A31:A34,MATCH(MAX(Calc!B31:B34),Calc!B31:B34,0))&amp;"; highest-margin category: "&amp;INDEX(Calc!A31:A34,MATCH(MAX(Calc!D31:D34),Calc!D31:D34,0))&amp;" ("&amp;TEXT(MAX(Calc!D31:D34),"0.0%")&amp;" margin)."</f>
        <v>Largest category by revenue: Electronics; highest-margin category: Software (67.0% margin).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customFormat="false" ht="24" hidden="false" customHeight="true" outlineLevel="0" collapsed="false">
      <c r="B47" s="14" t="str">
        <f aca="false">"Top 5 products generate "&amp;TEXT(IFERROR(SUM(Calc!C55:C59)/(SUMIFS(Data!$K$2:$K$5000,Data!$C$2:$C$5000,Calc!$B$2,Data!$E$2:$E$5000,Calc!$B$3,Data!$F$2:$F$5000,Calc!$B$4)),0),"0.0%")&amp;" of revenue - a "&amp;IF(IFERROR(SUM(Calc!C55:C59)/(SUMIFS(Data!$K$2:$K$5000,Data!$C$2:$C$5000,Calc!$B$2,Data!$E$2:$E$5000,Calc!$B$3,Data!$F$2:$F$5000,Calc!$B$4)),0)&gt;0.7,"high concentration; diversify the product mix.","healthy spread across the catalogue.")</f>
        <v>Top 5 products generate 66.1% of revenue - a healthy spread across the catalogue.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9" customFormat="false" ht="15" hidden="false" customHeight="false" outlineLevel="0" collapsed="false">
      <c r="B49" s="16" t="s">
        <v>14</v>
      </c>
    </row>
  </sheetData>
  <mergeCells count="17"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43:M43"/>
    <mergeCell ref="B44:M44"/>
    <mergeCell ref="B45:M45"/>
    <mergeCell ref="B46:M46"/>
    <mergeCell ref="B47:M47"/>
  </mergeCells>
  <dataValidations count="3">
    <dataValidation allowBlank="false" errorStyle="stop" operator="between" showDropDown="false" showErrorMessage="true" showInputMessage="false" sqref="C5" type="list">
      <formula1>"All,2025,2026"</formula1>
      <formula2>0</formula2>
    </dataValidation>
    <dataValidation allowBlank="false" errorStyle="stop" operator="between" showDropDown="false" showErrorMessage="true" showInputMessage="false" sqref="F5" type="list">
      <formula1>"All,North,South,East,West,Central"</formula1>
      <formula2>0</formula2>
    </dataValidation>
    <dataValidation allowBlank="false" errorStyle="stop" operator="between" showDropDown="false" showErrorMessage="true" showInputMessage="false" sqref="I5" type="list">
      <formula1>"All,Electronics,Furniture,Office Supplies,Software"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5" hidden="false" customHeight="false" outlineLevel="0" collapsed="false">
      <c r="B2" s="17" t="s">
        <v>15</v>
      </c>
    </row>
    <row r="3" customFormat="false" ht="15" hidden="false" customHeight="false" outlineLevel="0" collapsed="false">
      <c r="B3" s="18" t="s">
        <v>16</v>
      </c>
    </row>
    <row r="4" customFormat="false" ht="15" hidden="false" customHeight="false" outlineLevel="0" collapsed="false">
      <c r="B4" s="18" t="s">
        <v>17</v>
      </c>
    </row>
    <row r="5" customFormat="false" ht="15" hidden="false" customHeight="false" outlineLevel="0" collapsed="false">
      <c r="B5" s="18" t="s">
        <v>18</v>
      </c>
    </row>
    <row r="6" customFormat="false" ht="15" hidden="false" customHeight="false" outlineLevel="0" collapsed="false">
      <c r="B6" s="18"/>
    </row>
    <row r="7" customFormat="false" ht="15" hidden="false" customHeight="false" outlineLevel="0" collapsed="false">
      <c r="B7" s="17" t="s">
        <v>19</v>
      </c>
    </row>
    <row r="8" customFormat="false" ht="15" hidden="false" customHeight="false" outlineLevel="0" collapsed="false">
      <c r="B8" s="18" t="s">
        <v>20</v>
      </c>
    </row>
    <row r="9" customFormat="false" ht="15" hidden="false" customHeight="false" outlineLevel="0" collapsed="false">
      <c r="B9" s="18" t="s">
        <v>21</v>
      </c>
    </row>
    <row r="10" customFormat="false" ht="15" hidden="false" customHeight="false" outlineLevel="0" collapsed="false">
      <c r="B10" s="18" t="s">
        <v>22</v>
      </c>
    </row>
    <row r="11" customFormat="false" ht="15" hidden="false" customHeight="false" outlineLevel="0" collapsed="false">
      <c r="B11" s="18"/>
    </row>
    <row r="12" customFormat="false" ht="15" hidden="false" customHeight="false" outlineLevel="0" collapsed="false">
      <c r="B12" s="17" t="s">
        <v>23</v>
      </c>
    </row>
    <row r="13" customFormat="false" ht="15" hidden="false" customHeight="false" outlineLevel="0" collapsed="false">
      <c r="B13" s="18" t="s">
        <v>24</v>
      </c>
    </row>
    <row r="14" customFormat="false" ht="15" hidden="false" customHeight="false" outlineLevel="0" collapsed="false">
      <c r="B14" s="18" t="s">
        <v>25</v>
      </c>
    </row>
    <row r="15" customFormat="false" ht="15" hidden="false" customHeight="false" outlineLevel="0" collapsed="false">
      <c r="B15" s="18"/>
    </row>
    <row r="16" customFormat="false" ht="15" hidden="false" customHeight="false" outlineLevel="0" collapsed="false">
      <c r="B16" s="17" t="s">
        <v>26</v>
      </c>
    </row>
    <row r="17" customFormat="false" ht="15" hidden="false" customHeight="false" outlineLevel="0" collapsed="false">
      <c r="B17" s="18" t="s">
        <v>27</v>
      </c>
    </row>
    <row r="18" customFormat="false" ht="15" hidden="false" customHeight="false" outlineLevel="0" collapsed="false">
      <c r="B18" s="18" t="s">
        <v>28</v>
      </c>
    </row>
    <row r="19" customFormat="false" ht="15" hidden="false" customHeight="false" outlineLevel="0" collapsed="false">
      <c r="B19" s="18"/>
    </row>
    <row r="20" customFormat="false" ht="15" hidden="false" customHeight="false" outlineLevel="0" collapsed="false">
      <c r="B20" s="17" t="s">
        <v>29</v>
      </c>
    </row>
    <row r="21" customFormat="false" ht="15" hidden="false" customHeight="false" outlineLevel="0" collapsed="false">
      <c r="B21" s="18" t="s">
        <v>30</v>
      </c>
    </row>
    <row r="22" customFormat="false" ht="15" hidden="false" customHeight="false" outlineLevel="0" collapsed="false">
      <c r="B22" s="1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7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2" min="11" style="0" width="15"/>
    <col collapsed="false" customWidth="true" hidden="false" outlineLevel="0" max="14" min="14" style="0" width="80"/>
  </cols>
  <sheetData>
    <row r="1" customFormat="false" ht="30" hidden="false" customHeight="true" outlineLevel="0" collapsed="false">
      <c r="A1" s="19" t="s">
        <v>32</v>
      </c>
      <c r="B1" s="19" t="s">
        <v>33</v>
      </c>
      <c r="C1" s="19" t="s">
        <v>2</v>
      </c>
      <c r="D1" s="19" t="s">
        <v>34</v>
      </c>
      <c r="E1" s="19" t="s">
        <v>4</v>
      </c>
      <c r="F1" s="19" t="s">
        <v>5</v>
      </c>
      <c r="G1" s="19" t="s">
        <v>35</v>
      </c>
      <c r="H1" s="19" t="s">
        <v>36</v>
      </c>
      <c r="I1" s="19" t="s">
        <v>37</v>
      </c>
      <c r="J1" s="19" t="s">
        <v>38</v>
      </c>
      <c r="K1" s="19" t="s">
        <v>39</v>
      </c>
      <c r="L1" s="19" t="s">
        <v>40</v>
      </c>
      <c r="N1" s="20" t="s">
        <v>41</v>
      </c>
    </row>
    <row r="2" customFormat="false" ht="15" hidden="false" customHeight="false" outlineLevel="0" collapsed="false">
      <c r="A2" s="21" t="s">
        <v>42</v>
      </c>
      <c r="B2" s="22" t="n">
        <v>45658</v>
      </c>
      <c r="C2" s="23" t="n">
        <f aca="false">YEAR(B2)</f>
        <v>2025</v>
      </c>
      <c r="D2" s="23" t="n">
        <f aca="false">MONTH(B2)</f>
        <v>1</v>
      </c>
      <c r="E2" s="21" t="s">
        <v>43</v>
      </c>
      <c r="F2" s="21" t="s">
        <v>44</v>
      </c>
      <c r="G2" s="21" t="s">
        <v>45</v>
      </c>
      <c r="H2" s="24" t="n">
        <v>9</v>
      </c>
      <c r="I2" s="24" t="n">
        <v>4240</v>
      </c>
      <c r="J2" s="24" t="n">
        <v>2800</v>
      </c>
      <c r="K2" s="25" t="n">
        <f aca="false">H2*I2</f>
        <v>38160</v>
      </c>
      <c r="L2" s="25" t="n">
        <f aca="false">H2*(I2-J2)</f>
        <v>12960</v>
      </c>
      <c r="N2" s="26" t="s">
        <v>46</v>
      </c>
    </row>
    <row r="3" customFormat="false" ht="15" hidden="false" customHeight="false" outlineLevel="0" collapsed="false">
      <c r="A3" s="21" t="s">
        <v>47</v>
      </c>
      <c r="B3" s="22" t="n">
        <v>45658</v>
      </c>
      <c r="C3" s="23" t="n">
        <f aca="false">YEAR(B3)</f>
        <v>2025</v>
      </c>
      <c r="D3" s="23" t="n">
        <f aca="false">MONTH(B3)</f>
        <v>1</v>
      </c>
      <c r="E3" s="21" t="s">
        <v>48</v>
      </c>
      <c r="F3" s="21" t="s">
        <v>44</v>
      </c>
      <c r="G3" s="21" t="s">
        <v>49</v>
      </c>
      <c r="H3" s="24" t="n">
        <v>3</v>
      </c>
      <c r="I3" s="24" t="n">
        <v>61950</v>
      </c>
      <c r="J3" s="24" t="n">
        <v>48000</v>
      </c>
      <c r="K3" s="25" t="n">
        <f aca="false">H3*I3</f>
        <v>185850</v>
      </c>
      <c r="L3" s="25" t="n">
        <f aca="false">H3*(I3-J3)</f>
        <v>41850</v>
      </c>
      <c r="N3" s="26" t="s">
        <v>50</v>
      </c>
    </row>
    <row r="4" customFormat="false" ht="15" hidden="false" customHeight="false" outlineLevel="0" collapsed="false">
      <c r="A4" s="21" t="s">
        <v>51</v>
      </c>
      <c r="B4" s="22" t="n">
        <v>45659</v>
      </c>
      <c r="C4" s="23" t="n">
        <f aca="false">YEAR(B4)</f>
        <v>2025</v>
      </c>
      <c r="D4" s="23" t="n">
        <f aca="false">MONTH(B4)</f>
        <v>1</v>
      </c>
      <c r="E4" s="21" t="s">
        <v>43</v>
      </c>
      <c r="F4" s="21" t="s">
        <v>44</v>
      </c>
      <c r="G4" s="21" t="s">
        <v>49</v>
      </c>
      <c r="H4" s="24" t="n">
        <v>3</v>
      </c>
      <c r="I4" s="24" t="n">
        <v>64130</v>
      </c>
      <c r="J4" s="24" t="n">
        <v>48000</v>
      </c>
      <c r="K4" s="25" t="n">
        <f aca="false">H4*I4</f>
        <v>192390</v>
      </c>
      <c r="L4" s="25" t="n">
        <f aca="false">H4*(I4-J4)</f>
        <v>48390</v>
      </c>
      <c r="N4" s="26" t="s">
        <v>52</v>
      </c>
    </row>
    <row r="5" customFormat="false" ht="15" hidden="false" customHeight="false" outlineLevel="0" collapsed="false">
      <c r="A5" s="21" t="s">
        <v>53</v>
      </c>
      <c r="B5" s="22" t="n">
        <v>45661</v>
      </c>
      <c r="C5" s="23" t="n">
        <f aca="false">YEAR(B5)</f>
        <v>2025</v>
      </c>
      <c r="D5" s="23" t="n">
        <f aca="false">MONTH(B5)</f>
        <v>1</v>
      </c>
      <c r="E5" s="21" t="s">
        <v>48</v>
      </c>
      <c r="F5" s="21" t="s">
        <v>44</v>
      </c>
      <c r="G5" s="21" t="s">
        <v>49</v>
      </c>
      <c r="H5" s="24" t="n">
        <v>3</v>
      </c>
      <c r="I5" s="24" t="n">
        <v>62870</v>
      </c>
      <c r="J5" s="24" t="n">
        <v>48000</v>
      </c>
      <c r="K5" s="25" t="n">
        <f aca="false">H5*I5</f>
        <v>188610</v>
      </c>
      <c r="L5" s="25" t="n">
        <f aca="false">H5*(I5-J5)</f>
        <v>44610</v>
      </c>
      <c r="N5" s="26" t="s">
        <v>54</v>
      </c>
    </row>
    <row r="6" customFormat="false" ht="15" hidden="false" customHeight="false" outlineLevel="0" collapsed="false">
      <c r="A6" s="21" t="s">
        <v>55</v>
      </c>
      <c r="B6" s="22" t="n">
        <v>45663</v>
      </c>
      <c r="C6" s="23" t="n">
        <f aca="false">YEAR(B6)</f>
        <v>2025</v>
      </c>
      <c r="D6" s="23" t="n">
        <f aca="false">MONTH(B6)</f>
        <v>1</v>
      </c>
      <c r="E6" s="21" t="s">
        <v>56</v>
      </c>
      <c r="F6" s="21" t="s">
        <v>57</v>
      </c>
      <c r="G6" s="21" t="s">
        <v>58</v>
      </c>
      <c r="H6" s="24" t="n">
        <v>12</v>
      </c>
      <c r="I6" s="24" t="n">
        <v>1830</v>
      </c>
      <c r="J6" s="24" t="n">
        <v>1250</v>
      </c>
      <c r="K6" s="25" t="n">
        <f aca="false">H6*I6</f>
        <v>21960</v>
      </c>
      <c r="L6" s="25" t="n">
        <f aca="false">H6*(I6-J6)</f>
        <v>6960</v>
      </c>
      <c r="N6" s="26" t="s">
        <v>59</v>
      </c>
    </row>
    <row r="7" customFormat="false" ht="15" hidden="false" customHeight="false" outlineLevel="0" collapsed="false">
      <c r="A7" s="21" t="s">
        <v>60</v>
      </c>
      <c r="B7" s="22" t="n">
        <v>45663</v>
      </c>
      <c r="C7" s="23" t="n">
        <f aca="false">YEAR(B7)</f>
        <v>2025</v>
      </c>
      <c r="D7" s="23" t="n">
        <f aca="false">MONTH(B7)</f>
        <v>1</v>
      </c>
      <c r="E7" s="21" t="s">
        <v>61</v>
      </c>
      <c r="F7" s="21" t="s">
        <v>62</v>
      </c>
      <c r="G7" s="21" t="s">
        <v>63</v>
      </c>
      <c r="H7" s="24" t="n">
        <v>3</v>
      </c>
      <c r="I7" s="24" t="n">
        <v>28690</v>
      </c>
      <c r="J7" s="24" t="n">
        <v>19500</v>
      </c>
      <c r="K7" s="25" t="n">
        <f aca="false">H7*I7</f>
        <v>86070</v>
      </c>
      <c r="L7" s="25" t="n">
        <f aca="false">H7*(I7-J7)</f>
        <v>27570</v>
      </c>
    </row>
    <row r="8" customFormat="false" ht="15" hidden="false" customHeight="false" outlineLevel="0" collapsed="false">
      <c r="A8" s="21" t="s">
        <v>64</v>
      </c>
      <c r="B8" s="22" t="n">
        <v>45664</v>
      </c>
      <c r="C8" s="23" t="n">
        <f aca="false">YEAR(B8)</f>
        <v>2025</v>
      </c>
      <c r="D8" s="23" t="n">
        <f aca="false">MONTH(B8)</f>
        <v>1</v>
      </c>
      <c r="E8" s="21" t="s">
        <v>48</v>
      </c>
      <c r="F8" s="21" t="s">
        <v>65</v>
      </c>
      <c r="G8" s="21" t="s">
        <v>66</v>
      </c>
      <c r="H8" s="24" t="n">
        <v>21</v>
      </c>
      <c r="I8" s="24" t="n">
        <v>4500</v>
      </c>
      <c r="J8" s="24" t="n">
        <v>1900</v>
      </c>
      <c r="K8" s="25" t="n">
        <f aca="false">H8*I8</f>
        <v>94500</v>
      </c>
      <c r="L8" s="25" t="n">
        <f aca="false">H8*(I8-J8)</f>
        <v>54600</v>
      </c>
    </row>
    <row r="9" customFormat="false" ht="15" hidden="false" customHeight="false" outlineLevel="0" collapsed="false">
      <c r="A9" s="21" t="s">
        <v>67</v>
      </c>
      <c r="B9" s="22" t="n">
        <v>45665</v>
      </c>
      <c r="C9" s="23" t="n">
        <f aca="false">YEAR(B9)</f>
        <v>2025</v>
      </c>
      <c r="D9" s="23" t="n">
        <f aca="false">MONTH(B9)</f>
        <v>1</v>
      </c>
      <c r="E9" s="21" t="s">
        <v>43</v>
      </c>
      <c r="F9" s="21" t="s">
        <v>65</v>
      </c>
      <c r="G9" s="21" t="s">
        <v>66</v>
      </c>
      <c r="H9" s="24" t="n">
        <v>8</v>
      </c>
      <c r="I9" s="24" t="n">
        <v>4790</v>
      </c>
      <c r="J9" s="24" t="n">
        <v>1900</v>
      </c>
      <c r="K9" s="25" t="n">
        <f aca="false">H9*I9</f>
        <v>38320</v>
      </c>
      <c r="L9" s="25" t="n">
        <f aca="false">H9*(I9-J9)</f>
        <v>23120</v>
      </c>
    </row>
    <row r="10" customFormat="false" ht="15" hidden="false" customHeight="false" outlineLevel="0" collapsed="false">
      <c r="A10" s="21" t="s">
        <v>68</v>
      </c>
      <c r="B10" s="22" t="n">
        <v>45667</v>
      </c>
      <c r="C10" s="23" t="n">
        <f aca="false">YEAR(B10)</f>
        <v>2025</v>
      </c>
      <c r="D10" s="23" t="n">
        <f aca="false">MONTH(B10)</f>
        <v>1</v>
      </c>
      <c r="E10" s="21" t="s">
        <v>43</v>
      </c>
      <c r="F10" s="21" t="s">
        <v>44</v>
      </c>
      <c r="G10" s="21" t="s">
        <v>69</v>
      </c>
      <c r="H10" s="24" t="n">
        <v>2</v>
      </c>
      <c r="I10" s="24" t="n">
        <v>19930</v>
      </c>
      <c r="J10" s="24" t="n">
        <v>15500</v>
      </c>
      <c r="K10" s="25" t="n">
        <f aca="false">H10*I10</f>
        <v>39860</v>
      </c>
      <c r="L10" s="25" t="n">
        <f aca="false">H10*(I10-J10)</f>
        <v>8860</v>
      </c>
    </row>
    <row r="11" customFormat="false" ht="15" hidden="false" customHeight="false" outlineLevel="0" collapsed="false">
      <c r="A11" s="21" t="s">
        <v>70</v>
      </c>
      <c r="B11" s="22" t="n">
        <v>45667</v>
      </c>
      <c r="C11" s="23" t="n">
        <f aca="false">YEAR(B11)</f>
        <v>2025</v>
      </c>
      <c r="D11" s="23" t="n">
        <f aca="false">MONTH(B11)</f>
        <v>1</v>
      </c>
      <c r="E11" s="21" t="s">
        <v>43</v>
      </c>
      <c r="F11" s="21" t="s">
        <v>44</v>
      </c>
      <c r="G11" s="21" t="s">
        <v>49</v>
      </c>
      <c r="H11" s="24" t="n">
        <v>2</v>
      </c>
      <c r="I11" s="24" t="n">
        <v>62360</v>
      </c>
      <c r="J11" s="24" t="n">
        <v>48000</v>
      </c>
      <c r="K11" s="25" t="n">
        <f aca="false">H11*I11</f>
        <v>124720</v>
      </c>
      <c r="L11" s="25" t="n">
        <f aca="false">H11*(I11-J11)</f>
        <v>28720</v>
      </c>
    </row>
    <row r="12" customFormat="false" ht="15" hidden="false" customHeight="false" outlineLevel="0" collapsed="false">
      <c r="A12" s="21" t="s">
        <v>71</v>
      </c>
      <c r="B12" s="22" t="n">
        <v>45669</v>
      </c>
      <c r="C12" s="23" t="n">
        <f aca="false">YEAR(B12)</f>
        <v>2025</v>
      </c>
      <c r="D12" s="23" t="n">
        <f aca="false">MONTH(B12)</f>
        <v>1</v>
      </c>
      <c r="E12" s="21" t="s">
        <v>43</v>
      </c>
      <c r="F12" s="21" t="s">
        <v>62</v>
      </c>
      <c r="G12" s="21" t="s">
        <v>72</v>
      </c>
      <c r="H12" s="24" t="n">
        <v>3</v>
      </c>
      <c r="I12" s="24" t="n">
        <v>7560</v>
      </c>
      <c r="J12" s="24" t="n">
        <v>4800</v>
      </c>
      <c r="K12" s="25" t="n">
        <f aca="false">H12*I12</f>
        <v>22680</v>
      </c>
      <c r="L12" s="25" t="n">
        <f aca="false">H12*(I12-J12)</f>
        <v>8280</v>
      </c>
    </row>
    <row r="13" customFormat="false" ht="15" hidden="false" customHeight="false" outlineLevel="0" collapsed="false">
      <c r="A13" s="21" t="s">
        <v>73</v>
      </c>
      <c r="B13" s="22" t="n">
        <v>45671</v>
      </c>
      <c r="C13" s="23" t="n">
        <f aca="false">YEAR(B13)</f>
        <v>2025</v>
      </c>
      <c r="D13" s="23" t="n">
        <f aca="false">MONTH(B13)</f>
        <v>1</v>
      </c>
      <c r="E13" s="21" t="s">
        <v>48</v>
      </c>
      <c r="F13" s="21" t="s">
        <v>57</v>
      </c>
      <c r="G13" s="21" t="s">
        <v>74</v>
      </c>
      <c r="H13" s="24" t="n">
        <v>39</v>
      </c>
      <c r="I13" s="24" t="n">
        <v>365</v>
      </c>
      <c r="J13" s="24" t="n">
        <v>170</v>
      </c>
      <c r="K13" s="25" t="n">
        <f aca="false">H13*I13</f>
        <v>14235</v>
      </c>
      <c r="L13" s="25" t="n">
        <f aca="false">H13*(I13-J13)</f>
        <v>7605</v>
      </c>
    </row>
    <row r="14" customFormat="false" ht="15" hidden="false" customHeight="false" outlineLevel="0" collapsed="false">
      <c r="A14" s="21" t="s">
        <v>75</v>
      </c>
      <c r="B14" s="22" t="n">
        <v>45676</v>
      </c>
      <c r="C14" s="23" t="n">
        <f aca="false">YEAR(B14)</f>
        <v>2025</v>
      </c>
      <c r="D14" s="23" t="n">
        <f aca="false">MONTH(B14)</f>
        <v>1</v>
      </c>
      <c r="E14" s="21" t="s">
        <v>76</v>
      </c>
      <c r="F14" s="21" t="s">
        <v>57</v>
      </c>
      <c r="G14" s="21" t="s">
        <v>74</v>
      </c>
      <c r="H14" s="24" t="n">
        <v>35</v>
      </c>
      <c r="I14" s="24" t="n">
        <v>347</v>
      </c>
      <c r="J14" s="24" t="n">
        <v>170</v>
      </c>
      <c r="K14" s="25" t="n">
        <f aca="false">H14*I14</f>
        <v>12145</v>
      </c>
      <c r="L14" s="25" t="n">
        <f aca="false">H14*(I14-J14)</f>
        <v>6195</v>
      </c>
    </row>
    <row r="15" customFormat="false" ht="15" hidden="false" customHeight="false" outlineLevel="0" collapsed="false">
      <c r="A15" s="21" t="s">
        <v>77</v>
      </c>
      <c r="B15" s="22" t="n">
        <v>45676</v>
      </c>
      <c r="C15" s="23" t="n">
        <f aca="false">YEAR(B15)</f>
        <v>2025</v>
      </c>
      <c r="D15" s="23" t="n">
        <f aca="false">MONTH(B15)</f>
        <v>1</v>
      </c>
      <c r="E15" s="21" t="s">
        <v>56</v>
      </c>
      <c r="F15" s="21" t="s">
        <v>57</v>
      </c>
      <c r="G15" s="21" t="s">
        <v>78</v>
      </c>
      <c r="H15" s="24" t="n">
        <v>27</v>
      </c>
      <c r="I15" s="24" t="n">
        <v>671</v>
      </c>
      <c r="J15" s="24" t="n">
        <v>320</v>
      </c>
      <c r="K15" s="25" t="n">
        <f aca="false">H15*I15</f>
        <v>18117</v>
      </c>
      <c r="L15" s="25" t="n">
        <f aca="false">H15*(I15-J15)</f>
        <v>9477</v>
      </c>
    </row>
    <row r="16" customFormat="false" ht="15" hidden="false" customHeight="false" outlineLevel="0" collapsed="false">
      <c r="A16" s="21" t="s">
        <v>79</v>
      </c>
      <c r="B16" s="22" t="n">
        <v>45677</v>
      </c>
      <c r="C16" s="23" t="n">
        <f aca="false">YEAR(B16)</f>
        <v>2025</v>
      </c>
      <c r="D16" s="23" t="n">
        <f aca="false">MONTH(B16)</f>
        <v>1</v>
      </c>
      <c r="E16" s="21" t="s">
        <v>43</v>
      </c>
      <c r="F16" s="21" t="s">
        <v>44</v>
      </c>
      <c r="G16" s="21" t="s">
        <v>49</v>
      </c>
      <c r="H16" s="24" t="n">
        <v>2</v>
      </c>
      <c r="I16" s="24" t="n">
        <v>61720</v>
      </c>
      <c r="J16" s="24" t="n">
        <v>48000</v>
      </c>
      <c r="K16" s="25" t="n">
        <f aca="false">H16*I16</f>
        <v>123440</v>
      </c>
      <c r="L16" s="25" t="n">
        <f aca="false">H16*(I16-J16)</f>
        <v>27440</v>
      </c>
    </row>
    <row r="17" customFormat="false" ht="15" hidden="false" customHeight="false" outlineLevel="0" collapsed="false">
      <c r="A17" s="21" t="s">
        <v>80</v>
      </c>
      <c r="B17" s="22" t="n">
        <v>45680</v>
      </c>
      <c r="C17" s="23" t="n">
        <f aca="false">YEAR(B17)</f>
        <v>2025</v>
      </c>
      <c r="D17" s="23" t="n">
        <f aca="false">MONTH(B17)</f>
        <v>1</v>
      </c>
      <c r="E17" s="21" t="s">
        <v>61</v>
      </c>
      <c r="F17" s="21" t="s">
        <v>65</v>
      </c>
      <c r="G17" s="21" t="s">
        <v>81</v>
      </c>
      <c r="H17" s="24" t="n">
        <v>15</v>
      </c>
      <c r="I17" s="24" t="n">
        <v>8960</v>
      </c>
      <c r="J17" s="24" t="n">
        <v>2500</v>
      </c>
      <c r="K17" s="25" t="n">
        <f aca="false">H17*I17</f>
        <v>134400</v>
      </c>
      <c r="L17" s="25" t="n">
        <f aca="false">H17*(I17-J17)</f>
        <v>96900</v>
      </c>
    </row>
    <row r="18" customFormat="false" ht="15" hidden="false" customHeight="false" outlineLevel="0" collapsed="false">
      <c r="A18" s="21" t="s">
        <v>82</v>
      </c>
      <c r="B18" s="22" t="n">
        <v>45681</v>
      </c>
      <c r="C18" s="23" t="n">
        <f aca="false">YEAR(B18)</f>
        <v>2025</v>
      </c>
      <c r="D18" s="23" t="n">
        <f aca="false">MONTH(B18)</f>
        <v>1</v>
      </c>
      <c r="E18" s="21" t="s">
        <v>56</v>
      </c>
      <c r="F18" s="21" t="s">
        <v>57</v>
      </c>
      <c r="G18" s="21" t="s">
        <v>58</v>
      </c>
      <c r="H18" s="24" t="n">
        <v>13</v>
      </c>
      <c r="I18" s="24" t="n">
        <v>1770</v>
      </c>
      <c r="J18" s="24" t="n">
        <v>1250</v>
      </c>
      <c r="K18" s="25" t="n">
        <f aca="false">H18*I18</f>
        <v>23010</v>
      </c>
      <c r="L18" s="25" t="n">
        <f aca="false">H18*(I18-J18)</f>
        <v>6760</v>
      </c>
    </row>
    <row r="19" customFormat="false" ht="15" hidden="false" customHeight="false" outlineLevel="0" collapsed="false">
      <c r="A19" s="21" t="s">
        <v>83</v>
      </c>
      <c r="B19" s="22" t="n">
        <v>45682</v>
      </c>
      <c r="C19" s="23" t="n">
        <f aca="false">YEAR(B19)</f>
        <v>2025</v>
      </c>
      <c r="D19" s="23" t="n">
        <f aca="false">MONTH(B19)</f>
        <v>1</v>
      </c>
      <c r="E19" s="21" t="s">
        <v>43</v>
      </c>
      <c r="F19" s="21" t="s">
        <v>57</v>
      </c>
      <c r="G19" s="21" t="s">
        <v>78</v>
      </c>
      <c r="H19" s="24" t="n">
        <v>12</v>
      </c>
      <c r="I19" s="24" t="n">
        <v>675</v>
      </c>
      <c r="J19" s="24" t="n">
        <v>320</v>
      </c>
      <c r="K19" s="25" t="n">
        <f aca="false">H19*I19</f>
        <v>8100</v>
      </c>
      <c r="L19" s="25" t="n">
        <f aca="false">H19*(I19-J19)</f>
        <v>4260</v>
      </c>
    </row>
    <row r="20" customFormat="false" ht="15" hidden="false" customHeight="false" outlineLevel="0" collapsed="false">
      <c r="A20" s="21" t="s">
        <v>84</v>
      </c>
      <c r="B20" s="22" t="n">
        <v>45682</v>
      </c>
      <c r="C20" s="23" t="n">
        <f aca="false">YEAR(B20)</f>
        <v>2025</v>
      </c>
      <c r="D20" s="23" t="n">
        <f aca="false">MONTH(B20)</f>
        <v>1</v>
      </c>
      <c r="E20" s="21" t="s">
        <v>76</v>
      </c>
      <c r="F20" s="21" t="s">
        <v>57</v>
      </c>
      <c r="G20" s="21" t="s">
        <v>74</v>
      </c>
      <c r="H20" s="24" t="n">
        <v>13</v>
      </c>
      <c r="I20" s="24" t="n">
        <v>336</v>
      </c>
      <c r="J20" s="24" t="n">
        <v>170</v>
      </c>
      <c r="K20" s="25" t="n">
        <f aca="false">H20*I20</f>
        <v>4368</v>
      </c>
      <c r="L20" s="25" t="n">
        <f aca="false">H20*(I20-J20)</f>
        <v>2158</v>
      </c>
    </row>
    <row r="21" customFormat="false" ht="15" hidden="false" customHeight="false" outlineLevel="0" collapsed="false">
      <c r="A21" s="21" t="s">
        <v>85</v>
      </c>
      <c r="B21" s="22" t="n">
        <v>45682</v>
      </c>
      <c r="C21" s="23" t="n">
        <f aca="false">YEAR(B21)</f>
        <v>2025</v>
      </c>
      <c r="D21" s="23" t="n">
        <f aca="false">MONTH(B21)</f>
        <v>1</v>
      </c>
      <c r="E21" s="21" t="s">
        <v>56</v>
      </c>
      <c r="F21" s="21" t="s">
        <v>65</v>
      </c>
      <c r="G21" s="21" t="s">
        <v>66</v>
      </c>
      <c r="H21" s="24" t="n">
        <v>20</v>
      </c>
      <c r="I21" s="24" t="n">
        <v>4770</v>
      </c>
      <c r="J21" s="24" t="n">
        <v>1900</v>
      </c>
      <c r="K21" s="25" t="n">
        <f aca="false">H21*I21</f>
        <v>95400</v>
      </c>
      <c r="L21" s="25" t="n">
        <f aca="false">H21*(I21-J21)</f>
        <v>57400</v>
      </c>
    </row>
    <row r="22" customFormat="false" ht="15" hidden="false" customHeight="false" outlineLevel="0" collapsed="false">
      <c r="A22" s="21" t="s">
        <v>86</v>
      </c>
      <c r="B22" s="22" t="n">
        <v>45683</v>
      </c>
      <c r="C22" s="23" t="n">
        <f aca="false">YEAR(B22)</f>
        <v>2025</v>
      </c>
      <c r="D22" s="23" t="n">
        <f aca="false">MONTH(B22)</f>
        <v>1</v>
      </c>
      <c r="E22" s="21" t="s">
        <v>56</v>
      </c>
      <c r="F22" s="21" t="s">
        <v>44</v>
      </c>
      <c r="G22" s="21" t="s">
        <v>49</v>
      </c>
      <c r="H22" s="24" t="n">
        <v>2</v>
      </c>
      <c r="I22" s="24" t="n">
        <v>61590</v>
      </c>
      <c r="J22" s="24" t="n">
        <v>48000</v>
      </c>
      <c r="K22" s="25" t="n">
        <f aca="false">H22*I22</f>
        <v>123180</v>
      </c>
      <c r="L22" s="25" t="n">
        <f aca="false">H22*(I22-J22)</f>
        <v>27180</v>
      </c>
    </row>
    <row r="23" customFormat="false" ht="15" hidden="false" customHeight="false" outlineLevel="0" collapsed="false">
      <c r="A23" s="21" t="s">
        <v>87</v>
      </c>
      <c r="B23" s="22" t="n">
        <v>45684</v>
      </c>
      <c r="C23" s="23" t="n">
        <f aca="false">YEAR(B23)</f>
        <v>2025</v>
      </c>
      <c r="D23" s="23" t="n">
        <f aca="false">MONTH(B23)</f>
        <v>1</v>
      </c>
      <c r="E23" s="21" t="s">
        <v>43</v>
      </c>
      <c r="F23" s="21" t="s">
        <v>57</v>
      </c>
      <c r="G23" s="21" t="s">
        <v>74</v>
      </c>
      <c r="H23" s="24" t="n">
        <v>76</v>
      </c>
      <c r="I23" s="24" t="n">
        <v>355</v>
      </c>
      <c r="J23" s="24" t="n">
        <v>170</v>
      </c>
      <c r="K23" s="25" t="n">
        <f aca="false">H23*I23</f>
        <v>26980</v>
      </c>
      <c r="L23" s="25" t="n">
        <f aca="false">H23*(I23-J23)</f>
        <v>14060</v>
      </c>
    </row>
    <row r="24" customFormat="false" ht="15" hidden="false" customHeight="false" outlineLevel="0" collapsed="false">
      <c r="A24" s="21" t="s">
        <v>88</v>
      </c>
      <c r="B24" s="22" t="n">
        <v>45684</v>
      </c>
      <c r="C24" s="23" t="n">
        <f aca="false">YEAR(B24)</f>
        <v>2025</v>
      </c>
      <c r="D24" s="23" t="n">
        <f aca="false">MONTH(B24)</f>
        <v>1</v>
      </c>
      <c r="E24" s="21" t="s">
        <v>43</v>
      </c>
      <c r="F24" s="21" t="s">
        <v>65</v>
      </c>
      <c r="G24" s="21" t="s">
        <v>89</v>
      </c>
      <c r="H24" s="24" t="n">
        <v>20</v>
      </c>
      <c r="I24" s="24" t="n">
        <v>1760</v>
      </c>
      <c r="J24" s="24" t="n">
        <v>500</v>
      </c>
      <c r="K24" s="25" t="n">
        <f aca="false">H24*I24</f>
        <v>35200</v>
      </c>
      <c r="L24" s="25" t="n">
        <f aca="false">H24*(I24-J24)</f>
        <v>25200</v>
      </c>
    </row>
    <row r="25" customFormat="false" ht="15" hidden="false" customHeight="false" outlineLevel="0" collapsed="false">
      <c r="A25" s="21" t="s">
        <v>90</v>
      </c>
      <c r="B25" s="22" t="n">
        <v>45685</v>
      </c>
      <c r="C25" s="23" t="n">
        <f aca="false">YEAR(B25)</f>
        <v>2025</v>
      </c>
      <c r="D25" s="23" t="n">
        <f aca="false">MONTH(B25)</f>
        <v>1</v>
      </c>
      <c r="E25" s="21" t="s">
        <v>61</v>
      </c>
      <c r="F25" s="21" t="s">
        <v>65</v>
      </c>
      <c r="G25" s="21" t="s">
        <v>81</v>
      </c>
      <c r="H25" s="24" t="n">
        <v>16</v>
      </c>
      <c r="I25" s="24" t="n">
        <v>9200</v>
      </c>
      <c r="J25" s="24" t="n">
        <v>2500</v>
      </c>
      <c r="K25" s="25" t="n">
        <f aca="false">H25*I25</f>
        <v>147200</v>
      </c>
      <c r="L25" s="25" t="n">
        <f aca="false">H25*(I25-J25)</f>
        <v>107200</v>
      </c>
    </row>
    <row r="26" customFormat="false" ht="15" hidden="false" customHeight="false" outlineLevel="0" collapsed="false">
      <c r="A26" s="21" t="s">
        <v>91</v>
      </c>
      <c r="B26" s="22" t="n">
        <v>45686</v>
      </c>
      <c r="C26" s="23" t="n">
        <f aca="false">YEAR(B26)</f>
        <v>2025</v>
      </c>
      <c r="D26" s="23" t="n">
        <f aca="false">MONTH(B26)</f>
        <v>1</v>
      </c>
      <c r="E26" s="21" t="s">
        <v>56</v>
      </c>
      <c r="F26" s="21" t="s">
        <v>62</v>
      </c>
      <c r="G26" s="21" t="s">
        <v>92</v>
      </c>
      <c r="H26" s="24" t="n">
        <v>2</v>
      </c>
      <c r="I26" s="24" t="n">
        <v>13530</v>
      </c>
      <c r="J26" s="24" t="n">
        <v>9000</v>
      </c>
      <c r="K26" s="25" t="n">
        <f aca="false">H26*I26</f>
        <v>27060</v>
      </c>
      <c r="L26" s="25" t="n">
        <f aca="false">H26*(I26-J26)</f>
        <v>9060</v>
      </c>
    </row>
    <row r="27" customFormat="false" ht="15" hidden="false" customHeight="false" outlineLevel="0" collapsed="false">
      <c r="A27" s="21" t="s">
        <v>93</v>
      </c>
      <c r="B27" s="22" t="n">
        <v>45686</v>
      </c>
      <c r="C27" s="23" t="n">
        <f aca="false">YEAR(B27)</f>
        <v>2025</v>
      </c>
      <c r="D27" s="23" t="n">
        <f aca="false">MONTH(B27)</f>
        <v>1</v>
      </c>
      <c r="E27" s="21" t="s">
        <v>48</v>
      </c>
      <c r="F27" s="21" t="s">
        <v>57</v>
      </c>
      <c r="G27" s="21" t="s">
        <v>58</v>
      </c>
      <c r="H27" s="24" t="n">
        <v>17</v>
      </c>
      <c r="I27" s="24" t="n">
        <v>1840</v>
      </c>
      <c r="J27" s="24" t="n">
        <v>1250</v>
      </c>
      <c r="K27" s="25" t="n">
        <f aca="false">H27*I27</f>
        <v>31280</v>
      </c>
      <c r="L27" s="25" t="n">
        <f aca="false">H27*(I27-J27)</f>
        <v>10030</v>
      </c>
    </row>
    <row r="28" customFormat="false" ht="15" hidden="false" customHeight="false" outlineLevel="0" collapsed="false">
      <c r="A28" s="21" t="s">
        <v>94</v>
      </c>
      <c r="B28" s="22" t="n">
        <v>45689</v>
      </c>
      <c r="C28" s="23" t="n">
        <f aca="false">YEAR(B28)</f>
        <v>2025</v>
      </c>
      <c r="D28" s="23" t="n">
        <f aca="false">MONTH(B28)</f>
        <v>2</v>
      </c>
      <c r="E28" s="21" t="s">
        <v>48</v>
      </c>
      <c r="F28" s="21" t="s">
        <v>57</v>
      </c>
      <c r="G28" s="21" t="s">
        <v>78</v>
      </c>
      <c r="H28" s="24" t="n">
        <v>30</v>
      </c>
      <c r="I28" s="24" t="n">
        <v>634</v>
      </c>
      <c r="J28" s="24" t="n">
        <v>320</v>
      </c>
      <c r="K28" s="25" t="n">
        <f aca="false">H28*I28</f>
        <v>19020</v>
      </c>
      <c r="L28" s="25" t="n">
        <f aca="false">H28*(I28-J28)</f>
        <v>9420</v>
      </c>
    </row>
    <row r="29" customFormat="false" ht="15" hidden="false" customHeight="false" outlineLevel="0" collapsed="false">
      <c r="A29" s="21" t="s">
        <v>95</v>
      </c>
      <c r="B29" s="22" t="n">
        <v>45701</v>
      </c>
      <c r="C29" s="23" t="n">
        <f aca="false">YEAR(B29)</f>
        <v>2025</v>
      </c>
      <c r="D29" s="23" t="n">
        <f aca="false">MONTH(B29)</f>
        <v>2</v>
      </c>
      <c r="E29" s="21" t="s">
        <v>56</v>
      </c>
      <c r="F29" s="21" t="s">
        <v>44</v>
      </c>
      <c r="G29" s="21" t="s">
        <v>45</v>
      </c>
      <c r="H29" s="24" t="n">
        <v>10</v>
      </c>
      <c r="I29" s="24" t="n">
        <v>4590</v>
      </c>
      <c r="J29" s="24" t="n">
        <v>2800</v>
      </c>
      <c r="K29" s="25" t="n">
        <f aca="false">H29*I29</f>
        <v>45900</v>
      </c>
      <c r="L29" s="25" t="n">
        <f aca="false">H29*(I29-J29)</f>
        <v>17900</v>
      </c>
    </row>
    <row r="30" customFormat="false" ht="15" hidden="false" customHeight="false" outlineLevel="0" collapsed="false">
      <c r="A30" s="21" t="s">
        <v>96</v>
      </c>
      <c r="B30" s="22" t="n">
        <v>45702</v>
      </c>
      <c r="C30" s="23" t="n">
        <f aca="false">YEAR(B30)</f>
        <v>2025</v>
      </c>
      <c r="D30" s="23" t="n">
        <f aca="false">MONTH(B30)</f>
        <v>2</v>
      </c>
      <c r="E30" s="21" t="s">
        <v>56</v>
      </c>
      <c r="F30" s="21" t="s">
        <v>44</v>
      </c>
      <c r="G30" s="21" t="s">
        <v>49</v>
      </c>
      <c r="H30" s="24" t="n">
        <v>2</v>
      </c>
      <c r="I30" s="24" t="n">
        <v>60480</v>
      </c>
      <c r="J30" s="24" t="n">
        <v>48000</v>
      </c>
      <c r="K30" s="25" t="n">
        <f aca="false">H30*I30</f>
        <v>120960</v>
      </c>
      <c r="L30" s="25" t="n">
        <f aca="false">H30*(I30-J30)</f>
        <v>24960</v>
      </c>
    </row>
    <row r="31" customFormat="false" ht="15" hidden="false" customHeight="false" outlineLevel="0" collapsed="false">
      <c r="A31" s="21" t="s">
        <v>97</v>
      </c>
      <c r="B31" s="22" t="n">
        <v>45705</v>
      </c>
      <c r="C31" s="23" t="n">
        <f aca="false">YEAR(B31)</f>
        <v>2025</v>
      </c>
      <c r="D31" s="23" t="n">
        <f aca="false">MONTH(B31)</f>
        <v>2</v>
      </c>
      <c r="E31" s="21" t="s">
        <v>48</v>
      </c>
      <c r="F31" s="21" t="s">
        <v>44</v>
      </c>
      <c r="G31" s="21" t="s">
        <v>45</v>
      </c>
      <c r="H31" s="24" t="n">
        <v>9</v>
      </c>
      <c r="I31" s="24" t="n">
        <v>4490</v>
      </c>
      <c r="J31" s="24" t="n">
        <v>2800</v>
      </c>
      <c r="K31" s="25" t="n">
        <f aca="false">H31*I31</f>
        <v>40410</v>
      </c>
      <c r="L31" s="25" t="n">
        <f aca="false">H31*(I31-J31)</f>
        <v>15210</v>
      </c>
    </row>
    <row r="32" customFormat="false" ht="15" hidden="false" customHeight="false" outlineLevel="0" collapsed="false">
      <c r="A32" s="21" t="s">
        <v>98</v>
      </c>
      <c r="B32" s="22" t="n">
        <v>45705</v>
      </c>
      <c r="C32" s="23" t="n">
        <f aca="false">YEAR(B32)</f>
        <v>2025</v>
      </c>
      <c r="D32" s="23" t="n">
        <f aca="false">MONTH(B32)</f>
        <v>2</v>
      </c>
      <c r="E32" s="21" t="s">
        <v>43</v>
      </c>
      <c r="F32" s="21" t="s">
        <v>57</v>
      </c>
      <c r="G32" s="21" t="s">
        <v>74</v>
      </c>
      <c r="H32" s="24" t="n">
        <v>80</v>
      </c>
      <c r="I32" s="24" t="n">
        <v>337</v>
      </c>
      <c r="J32" s="24" t="n">
        <v>170</v>
      </c>
      <c r="K32" s="25" t="n">
        <f aca="false">H32*I32</f>
        <v>26960</v>
      </c>
      <c r="L32" s="25" t="n">
        <f aca="false">H32*(I32-J32)</f>
        <v>13360</v>
      </c>
    </row>
    <row r="33" customFormat="false" ht="15" hidden="false" customHeight="false" outlineLevel="0" collapsed="false">
      <c r="A33" s="21" t="s">
        <v>99</v>
      </c>
      <c r="B33" s="22" t="n">
        <v>45705</v>
      </c>
      <c r="C33" s="23" t="n">
        <f aca="false">YEAR(B33)</f>
        <v>2025</v>
      </c>
      <c r="D33" s="23" t="n">
        <f aca="false">MONTH(B33)</f>
        <v>2</v>
      </c>
      <c r="E33" s="21" t="s">
        <v>61</v>
      </c>
      <c r="F33" s="21" t="s">
        <v>44</v>
      </c>
      <c r="G33" s="21" t="s">
        <v>69</v>
      </c>
      <c r="H33" s="24" t="n">
        <v>4</v>
      </c>
      <c r="I33" s="24" t="n">
        <v>19810</v>
      </c>
      <c r="J33" s="24" t="n">
        <v>15500</v>
      </c>
      <c r="K33" s="25" t="n">
        <f aca="false">H33*I33</f>
        <v>79240</v>
      </c>
      <c r="L33" s="25" t="n">
        <f aca="false">H33*(I33-J33)</f>
        <v>17240</v>
      </c>
    </row>
    <row r="34" customFormat="false" ht="15" hidden="false" customHeight="false" outlineLevel="0" collapsed="false">
      <c r="A34" s="21" t="s">
        <v>100</v>
      </c>
      <c r="B34" s="22" t="n">
        <v>45711</v>
      </c>
      <c r="C34" s="23" t="n">
        <f aca="false">YEAR(B34)</f>
        <v>2025</v>
      </c>
      <c r="D34" s="23" t="n">
        <f aca="false">MONTH(B34)</f>
        <v>2</v>
      </c>
      <c r="E34" s="21" t="s">
        <v>76</v>
      </c>
      <c r="F34" s="21" t="s">
        <v>65</v>
      </c>
      <c r="G34" s="21" t="s">
        <v>66</v>
      </c>
      <c r="H34" s="24" t="n">
        <v>9</v>
      </c>
      <c r="I34" s="24" t="n">
        <v>4840</v>
      </c>
      <c r="J34" s="24" t="n">
        <v>1900</v>
      </c>
      <c r="K34" s="25" t="n">
        <f aca="false">H34*I34</f>
        <v>43560</v>
      </c>
      <c r="L34" s="25" t="n">
        <f aca="false">H34*(I34-J34)</f>
        <v>26460</v>
      </c>
    </row>
    <row r="35" customFormat="false" ht="15" hidden="false" customHeight="false" outlineLevel="0" collapsed="false">
      <c r="A35" s="21" t="s">
        <v>101</v>
      </c>
      <c r="B35" s="22" t="n">
        <v>45712</v>
      </c>
      <c r="C35" s="23" t="n">
        <f aca="false">YEAR(B35)</f>
        <v>2025</v>
      </c>
      <c r="D35" s="23" t="n">
        <f aca="false">MONTH(B35)</f>
        <v>2</v>
      </c>
      <c r="E35" s="21" t="s">
        <v>43</v>
      </c>
      <c r="F35" s="21" t="s">
        <v>62</v>
      </c>
      <c r="G35" s="21" t="s">
        <v>92</v>
      </c>
      <c r="H35" s="24" t="n">
        <v>4</v>
      </c>
      <c r="I35" s="24" t="n">
        <v>13160</v>
      </c>
      <c r="J35" s="24" t="n">
        <v>9000</v>
      </c>
      <c r="K35" s="25" t="n">
        <f aca="false">H35*I35</f>
        <v>52640</v>
      </c>
      <c r="L35" s="25" t="n">
        <f aca="false">H35*(I35-J35)</f>
        <v>16640</v>
      </c>
    </row>
    <row r="36" customFormat="false" ht="15" hidden="false" customHeight="false" outlineLevel="0" collapsed="false">
      <c r="A36" s="21" t="s">
        <v>102</v>
      </c>
      <c r="B36" s="22" t="n">
        <v>45712</v>
      </c>
      <c r="C36" s="23" t="n">
        <f aca="false">YEAR(B36)</f>
        <v>2025</v>
      </c>
      <c r="D36" s="23" t="n">
        <f aca="false">MONTH(B36)</f>
        <v>2</v>
      </c>
      <c r="E36" s="21" t="s">
        <v>61</v>
      </c>
      <c r="F36" s="21" t="s">
        <v>65</v>
      </c>
      <c r="G36" s="21" t="s">
        <v>66</v>
      </c>
      <c r="H36" s="24" t="n">
        <v>16</v>
      </c>
      <c r="I36" s="24" t="n">
        <v>4960</v>
      </c>
      <c r="J36" s="24" t="n">
        <v>1900</v>
      </c>
      <c r="K36" s="25" t="n">
        <f aca="false">H36*I36</f>
        <v>79360</v>
      </c>
      <c r="L36" s="25" t="n">
        <f aca="false">H36*(I36-J36)</f>
        <v>48960</v>
      </c>
    </row>
    <row r="37" customFormat="false" ht="15" hidden="false" customHeight="false" outlineLevel="0" collapsed="false">
      <c r="A37" s="21" t="s">
        <v>103</v>
      </c>
      <c r="B37" s="22" t="n">
        <v>45717</v>
      </c>
      <c r="C37" s="23" t="n">
        <f aca="false">YEAR(B37)</f>
        <v>2025</v>
      </c>
      <c r="D37" s="23" t="n">
        <f aca="false">MONTH(B37)</f>
        <v>3</v>
      </c>
      <c r="E37" s="21" t="s">
        <v>43</v>
      </c>
      <c r="F37" s="21" t="s">
        <v>57</v>
      </c>
      <c r="G37" s="21" t="s">
        <v>58</v>
      </c>
      <c r="H37" s="24" t="n">
        <v>27</v>
      </c>
      <c r="I37" s="24" t="n">
        <v>1730</v>
      </c>
      <c r="J37" s="24" t="n">
        <v>1250</v>
      </c>
      <c r="K37" s="25" t="n">
        <f aca="false">H37*I37</f>
        <v>46710</v>
      </c>
      <c r="L37" s="25" t="n">
        <f aca="false">H37*(I37-J37)</f>
        <v>12960</v>
      </c>
    </row>
    <row r="38" customFormat="false" ht="15" hidden="false" customHeight="false" outlineLevel="0" collapsed="false">
      <c r="A38" s="21" t="s">
        <v>104</v>
      </c>
      <c r="B38" s="22" t="n">
        <v>45717</v>
      </c>
      <c r="C38" s="23" t="n">
        <f aca="false">YEAR(B38)</f>
        <v>2025</v>
      </c>
      <c r="D38" s="23" t="n">
        <f aca="false">MONTH(B38)</f>
        <v>3</v>
      </c>
      <c r="E38" s="21" t="s">
        <v>48</v>
      </c>
      <c r="F38" s="21" t="s">
        <v>57</v>
      </c>
      <c r="G38" s="21" t="s">
        <v>74</v>
      </c>
      <c r="H38" s="24" t="n">
        <v>71</v>
      </c>
      <c r="I38" s="24" t="n">
        <v>367</v>
      </c>
      <c r="J38" s="24" t="n">
        <v>170</v>
      </c>
      <c r="K38" s="25" t="n">
        <f aca="false">H38*I38</f>
        <v>26057</v>
      </c>
      <c r="L38" s="25" t="n">
        <f aca="false">H38*(I38-J38)</f>
        <v>13987</v>
      </c>
    </row>
    <row r="39" customFormat="false" ht="15" hidden="false" customHeight="false" outlineLevel="0" collapsed="false">
      <c r="A39" s="21" t="s">
        <v>105</v>
      </c>
      <c r="B39" s="22" t="n">
        <v>45721</v>
      </c>
      <c r="C39" s="23" t="n">
        <f aca="false">YEAR(B39)</f>
        <v>2025</v>
      </c>
      <c r="D39" s="23" t="n">
        <f aca="false">MONTH(B39)</f>
        <v>3</v>
      </c>
      <c r="E39" s="21" t="s">
        <v>76</v>
      </c>
      <c r="F39" s="21" t="s">
        <v>44</v>
      </c>
      <c r="G39" s="21" t="s">
        <v>69</v>
      </c>
      <c r="H39" s="24" t="n">
        <v>4</v>
      </c>
      <c r="I39" s="24" t="n">
        <v>19970</v>
      </c>
      <c r="J39" s="24" t="n">
        <v>15500</v>
      </c>
      <c r="K39" s="25" t="n">
        <f aca="false">H39*I39</f>
        <v>79880</v>
      </c>
      <c r="L39" s="25" t="n">
        <f aca="false">H39*(I39-J39)</f>
        <v>17880</v>
      </c>
    </row>
    <row r="40" customFormat="false" ht="15" hidden="false" customHeight="false" outlineLevel="0" collapsed="false">
      <c r="A40" s="21" t="s">
        <v>106</v>
      </c>
      <c r="B40" s="22" t="n">
        <v>45721</v>
      </c>
      <c r="C40" s="23" t="n">
        <f aca="false">YEAR(B40)</f>
        <v>2025</v>
      </c>
      <c r="D40" s="23" t="n">
        <f aca="false">MONTH(B40)</f>
        <v>3</v>
      </c>
      <c r="E40" s="21" t="s">
        <v>56</v>
      </c>
      <c r="F40" s="21" t="s">
        <v>57</v>
      </c>
      <c r="G40" s="21" t="s">
        <v>78</v>
      </c>
      <c r="H40" s="24" t="n">
        <v>18</v>
      </c>
      <c r="I40" s="24" t="n">
        <v>674</v>
      </c>
      <c r="J40" s="24" t="n">
        <v>320</v>
      </c>
      <c r="K40" s="25" t="n">
        <f aca="false">H40*I40</f>
        <v>12132</v>
      </c>
      <c r="L40" s="25" t="n">
        <f aca="false">H40*(I40-J40)</f>
        <v>6372</v>
      </c>
    </row>
    <row r="41" customFormat="false" ht="15" hidden="false" customHeight="false" outlineLevel="0" collapsed="false">
      <c r="A41" s="21" t="s">
        <v>107</v>
      </c>
      <c r="B41" s="22" t="n">
        <v>45722</v>
      </c>
      <c r="C41" s="23" t="n">
        <f aca="false">YEAR(B41)</f>
        <v>2025</v>
      </c>
      <c r="D41" s="23" t="n">
        <f aca="false">MONTH(B41)</f>
        <v>3</v>
      </c>
      <c r="E41" s="21" t="s">
        <v>56</v>
      </c>
      <c r="F41" s="21" t="s">
        <v>44</v>
      </c>
      <c r="G41" s="21" t="s">
        <v>69</v>
      </c>
      <c r="H41" s="24" t="n">
        <v>4</v>
      </c>
      <c r="I41" s="24" t="n">
        <v>20320</v>
      </c>
      <c r="J41" s="24" t="n">
        <v>15500</v>
      </c>
      <c r="K41" s="25" t="n">
        <f aca="false">H41*I41</f>
        <v>81280</v>
      </c>
      <c r="L41" s="25" t="n">
        <f aca="false">H41*(I41-J41)</f>
        <v>19280</v>
      </c>
    </row>
    <row r="42" customFormat="false" ht="15" hidden="false" customHeight="false" outlineLevel="0" collapsed="false">
      <c r="A42" s="21" t="s">
        <v>108</v>
      </c>
      <c r="B42" s="22" t="n">
        <v>45722</v>
      </c>
      <c r="C42" s="23" t="n">
        <f aca="false">YEAR(B42)</f>
        <v>2025</v>
      </c>
      <c r="D42" s="23" t="n">
        <f aca="false">MONTH(B42)</f>
        <v>3</v>
      </c>
      <c r="E42" s="21" t="s">
        <v>48</v>
      </c>
      <c r="F42" s="21" t="s">
        <v>57</v>
      </c>
      <c r="G42" s="21" t="s">
        <v>74</v>
      </c>
      <c r="H42" s="24" t="n">
        <v>10</v>
      </c>
      <c r="I42" s="24" t="n">
        <v>342</v>
      </c>
      <c r="J42" s="24" t="n">
        <v>170</v>
      </c>
      <c r="K42" s="25" t="n">
        <f aca="false">H42*I42</f>
        <v>3420</v>
      </c>
      <c r="L42" s="25" t="n">
        <f aca="false">H42*(I42-J42)</f>
        <v>1720</v>
      </c>
    </row>
    <row r="43" customFormat="false" ht="15" hidden="false" customHeight="false" outlineLevel="0" collapsed="false">
      <c r="A43" s="21" t="s">
        <v>109</v>
      </c>
      <c r="B43" s="22" t="n">
        <v>45723</v>
      </c>
      <c r="C43" s="23" t="n">
        <f aca="false">YEAR(B43)</f>
        <v>2025</v>
      </c>
      <c r="D43" s="23" t="n">
        <f aca="false">MONTH(B43)</f>
        <v>3</v>
      </c>
      <c r="E43" s="21" t="s">
        <v>76</v>
      </c>
      <c r="F43" s="21" t="s">
        <v>62</v>
      </c>
      <c r="G43" s="21" t="s">
        <v>92</v>
      </c>
      <c r="H43" s="24" t="n">
        <v>6</v>
      </c>
      <c r="I43" s="24" t="n">
        <v>13770</v>
      </c>
      <c r="J43" s="24" t="n">
        <v>9000</v>
      </c>
      <c r="K43" s="25" t="n">
        <f aca="false">H43*I43</f>
        <v>82620</v>
      </c>
      <c r="L43" s="25" t="n">
        <f aca="false">H43*(I43-J43)</f>
        <v>28620</v>
      </c>
    </row>
    <row r="44" customFormat="false" ht="15" hidden="false" customHeight="false" outlineLevel="0" collapsed="false">
      <c r="A44" s="21" t="s">
        <v>110</v>
      </c>
      <c r="B44" s="22" t="n">
        <v>45724</v>
      </c>
      <c r="C44" s="23" t="n">
        <f aca="false">YEAR(B44)</f>
        <v>2025</v>
      </c>
      <c r="D44" s="23" t="n">
        <f aca="false">MONTH(B44)</f>
        <v>3</v>
      </c>
      <c r="E44" s="21" t="s">
        <v>76</v>
      </c>
      <c r="F44" s="21" t="s">
        <v>44</v>
      </c>
      <c r="G44" s="21" t="s">
        <v>45</v>
      </c>
      <c r="H44" s="24" t="n">
        <v>7</v>
      </c>
      <c r="I44" s="24" t="n">
        <v>4350</v>
      </c>
      <c r="J44" s="24" t="n">
        <v>2800</v>
      </c>
      <c r="K44" s="25" t="n">
        <f aca="false">H44*I44</f>
        <v>30450</v>
      </c>
      <c r="L44" s="25" t="n">
        <f aca="false">H44*(I44-J44)</f>
        <v>10850</v>
      </c>
    </row>
    <row r="45" customFormat="false" ht="15" hidden="false" customHeight="false" outlineLevel="0" collapsed="false">
      <c r="A45" s="21" t="s">
        <v>111</v>
      </c>
      <c r="B45" s="22" t="n">
        <v>45724</v>
      </c>
      <c r="C45" s="23" t="n">
        <f aca="false">YEAR(B45)</f>
        <v>2025</v>
      </c>
      <c r="D45" s="23" t="n">
        <f aca="false">MONTH(B45)</f>
        <v>3</v>
      </c>
      <c r="E45" s="21" t="s">
        <v>48</v>
      </c>
      <c r="F45" s="21" t="s">
        <v>57</v>
      </c>
      <c r="G45" s="21" t="s">
        <v>74</v>
      </c>
      <c r="H45" s="24" t="n">
        <v>51</v>
      </c>
      <c r="I45" s="24" t="n">
        <v>363</v>
      </c>
      <c r="J45" s="24" t="n">
        <v>170</v>
      </c>
      <c r="K45" s="25" t="n">
        <f aca="false">H45*I45</f>
        <v>18513</v>
      </c>
      <c r="L45" s="25" t="n">
        <f aca="false">H45*(I45-J45)</f>
        <v>9843</v>
      </c>
    </row>
    <row r="46" customFormat="false" ht="15" hidden="false" customHeight="false" outlineLevel="0" collapsed="false">
      <c r="A46" s="21" t="s">
        <v>112</v>
      </c>
      <c r="B46" s="22" t="n">
        <v>45725</v>
      </c>
      <c r="C46" s="23" t="n">
        <f aca="false">YEAR(B46)</f>
        <v>2025</v>
      </c>
      <c r="D46" s="23" t="n">
        <f aca="false">MONTH(B46)</f>
        <v>3</v>
      </c>
      <c r="E46" s="21" t="s">
        <v>43</v>
      </c>
      <c r="F46" s="21" t="s">
        <v>65</v>
      </c>
      <c r="G46" s="21" t="s">
        <v>66</v>
      </c>
      <c r="H46" s="24" t="n">
        <v>14</v>
      </c>
      <c r="I46" s="24" t="n">
        <v>4590</v>
      </c>
      <c r="J46" s="24" t="n">
        <v>1900</v>
      </c>
      <c r="K46" s="25" t="n">
        <f aca="false">H46*I46</f>
        <v>64260</v>
      </c>
      <c r="L46" s="25" t="n">
        <f aca="false">H46*(I46-J46)</f>
        <v>37660</v>
      </c>
    </row>
    <row r="47" customFormat="false" ht="15" hidden="false" customHeight="false" outlineLevel="0" collapsed="false">
      <c r="A47" s="21" t="s">
        <v>113</v>
      </c>
      <c r="B47" s="22" t="n">
        <v>45726</v>
      </c>
      <c r="C47" s="23" t="n">
        <f aca="false">YEAR(B47)</f>
        <v>2025</v>
      </c>
      <c r="D47" s="23" t="n">
        <f aca="false">MONTH(B47)</f>
        <v>3</v>
      </c>
      <c r="E47" s="21" t="s">
        <v>43</v>
      </c>
      <c r="F47" s="21" t="s">
        <v>57</v>
      </c>
      <c r="G47" s="21" t="s">
        <v>74</v>
      </c>
      <c r="H47" s="24" t="n">
        <v>70</v>
      </c>
      <c r="I47" s="24" t="n">
        <v>357</v>
      </c>
      <c r="J47" s="24" t="n">
        <v>170</v>
      </c>
      <c r="K47" s="25" t="n">
        <f aca="false">H47*I47</f>
        <v>24990</v>
      </c>
      <c r="L47" s="25" t="n">
        <f aca="false">H47*(I47-J47)</f>
        <v>13090</v>
      </c>
    </row>
    <row r="48" customFormat="false" ht="15" hidden="false" customHeight="false" outlineLevel="0" collapsed="false">
      <c r="A48" s="21" t="s">
        <v>114</v>
      </c>
      <c r="B48" s="22" t="n">
        <v>45727</v>
      </c>
      <c r="C48" s="23" t="n">
        <f aca="false">YEAR(B48)</f>
        <v>2025</v>
      </c>
      <c r="D48" s="23" t="n">
        <f aca="false">MONTH(B48)</f>
        <v>3</v>
      </c>
      <c r="E48" s="21" t="s">
        <v>48</v>
      </c>
      <c r="F48" s="21" t="s">
        <v>65</v>
      </c>
      <c r="G48" s="21" t="s">
        <v>81</v>
      </c>
      <c r="H48" s="24" t="n">
        <v>5</v>
      </c>
      <c r="I48" s="24" t="n">
        <v>9350</v>
      </c>
      <c r="J48" s="24" t="n">
        <v>2500</v>
      </c>
      <c r="K48" s="25" t="n">
        <f aca="false">H48*I48</f>
        <v>46750</v>
      </c>
      <c r="L48" s="25" t="n">
        <f aca="false">H48*(I48-J48)</f>
        <v>34250</v>
      </c>
    </row>
    <row r="49" customFormat="false" ht="15" hidden="false" customHeight="false" outlineLevel="0" collapsed="false">
      <c r="A49" s="21" t="s">
        <v>115</v>
      </c>
      <c r="B49" s="22" t="n">
        <v>45729</v>
      </c>
      <c r="C49" s="23" t="n">
        <f aca="false">YEAR(B49)</f>
        <v>2025</v>
      </c>
      <c r="D49" s="23" t="n">
        <f aca="false">MONTH(B49)</f>
        <v>3</v>
      </c>
      <c r="E49" s="21" t="s">
        <v>76</v>
      </c>
      <c r="F49" s="21" t="s">
        <v>44</v>
      </c>
      <c r="G49" s="21" t="s">
        <v>49</v>
      </c>
      <c r="H49" s="24" t="n">
        <v>3</v>
      </c>
      <c r="I49" s="24" t="n">
        <v>59920</v>
      </c>
      <c r="J49" s="24" t="n">
        <v>48000</v>
      </c>
      <c r="K49" s="25" t="n">
        <f aca="false">H49*I49</f>
        <v>179760</v>
      </c>
      <c r="L49" s="25" t="n">
        <f aca="false">H49*(I49-J49)</f>
        <v>35760</v>
      </c>
    </row>
    <row r="50" customFormat="false" ht="15" hidden="false" customHeight="false" outlineLevel="0" collapsed="false">
      <c r="A50" s="21" t="s">
        <v>116</v>
      </c>
      <c r="B50" s="22" t="n">
        <v>45729</v>
      </c>
      <c r="C50" s="23" t="n">
        <f aca="false">YEAR(B50)</f>
        <v>2025</v>
      </c>
      <c r="D50" s="23" t="n">
        <f aca="false">MONTH(B50)</f>
        <v>3</v>
      </c>
      <c r="E50" s="21" t="s">
        <v>56</v>
      </c>
      <c r="F50" s="21" t="s">
        <v>44</v>
      </c>
      <c r="G50" s="21" t="s">
        <v>45</v>
      </c>
      <c r="H50" s="24" t="n">
        <v>3</v>
      </c>
      <c r="I50" s="24" t="n">
        <v>4450</v>
      </c>
      <c r="J50" s="24" t="n">
        <v>2800</v>
      </c>
      <c r="K50" s="25" t="n">
        <f aca="false">H50*I50</f>
        <v>13350</v>
      </c>
      <c r="L50" s="25" t="n">
        <f aca="false">H50*(I50-J50)</f>
        <v>4950</v>
      </c>
    </row>
    <row r="51" customFormat="false" ht="15" hidden="false" customHeight="false" outlineLevel="0" collapsed="false">
      <c r="A51" s="21" t="s">
        <v>117</v>
      </c>
      <c r="B51" s="22" t="n">
        <v>45730</v>
      </c>
      <c r="C51" s="23" t="n">
        <f aca="false">YEAR(B51)</f>
        <v>2025</v>
      </c>
      <c r="D51" s="23" t="n">
        <f aca="false">MONTH(B51)</f>
        <v>3</v>
      </c>
      <c r="E51" s="21" t="s">
        <v>56</v>
      </c>
      <c r="F51" s="21" t="s">
        <v>62</v>
      </c>
      <c r="G51" s="21" t="s">
        <v>72</v>
      </c>
      <c r="H51" s="24" t="n">
        <v>4</v>
      </c>
      <c r="I51" s="24" t="n">
        <v>7690</v>
      </c>
      <c r="J51" s="24" t="n">
        <v>4800</v>
      </c>
      <c r="K51" s="25" t="n">
        <f aca="false">H51*I51</f>
        <v>30760</v>
      </c>
      <c r="L51" s="25" t="n">
        <f aca="false">H51*(I51-J51)</f>
        <v>11560</v>
      </c>
    </row>
    <row r="52" customFormat="false" ht="15" hidden="false" customHeight="false" outlineLevel="0" collapsed="false">
      <c r="A52" s="21" t="s">
        <v>118</v>
      </c>
      <c r="B52" s="22" t="n">
        <v>45732</v>
      </c>
      <c r="C52" s="23" t="n">
        <f aca="false">YEAR(B52)</f>
        <v>2025</v>
      </c>
      <c r="D52" s="23" t="n">
        <f aca="false">MONTH(B52)</f>
        <v>3</v>
      </c>
      <c r="E52" s="21" t="s">
        <v>43</v>
      </c>
      <c r="F52" s="21" t="s">
        <v>65</v>
      </c>
      <c r="G52" s="21" t="s">
        <v>66</v>
      </c>
      <c r="H52" s="24" t="n">
        <v>10</v>
      </c>
      <c r="I52" s="24" t="n">
        <v>4640</v>
      </c>
      <c r="J52" s="24" t="n">
        <v>1900</v>
      </c>
      <c r="K52" s="25" t="n">
        <f aca="false">H52*I52</f>
        <v>46400</v>
      </c>
      <c r="L52" s="25" t="n">
        <f aca="false">H52*(I52-J52)</f>
        <v>27400</v>
      </c>
    </row>
    <row r="53" customFormat="false" ht="15" hidden="false" customHeight="false" outlineLevel="0" collapsed="false">
      <c r="A53" s="21" t="s">
        <v>119</v>
      </c>
      <c r="B53" s="22" t="n">
        <v>45733</v>
      </c>
      <c r="C53" s="23" t="n">
        <f aca="false">YEAR(B53)</f>
        <v>2025</v>
      </c>
      <c r="D53" s="23" t="n">
        <f aca="false">MONTH(B53)</f>
        <v>3</v>
      </c>
      <c r="E53" s="21" t="s">
        <v>56</v>
      </c>
      <c r="F53" s="21" t="s">
        <v>57</v>
      </c>
      <c r="G53" s="21" t="s">
        <v>58</v>
      </c>
      <c r="H53" s="24" t="n">
        <v>15</v>
      </c>
      <c r="I53" s="24" t="n">
        <v>1840</v>
      </c>
      <c r="J53" s="24" t="n">
        <v>1250</v>
      </c>
      <c r="K53" s="25" t="n">
        <f aca="false">H53*I53</f>
        <v>27600</v>
      </c>
      <c r="L53" s="25" t="n">
        <f aca="false">H53*(I53-J53)</f>
        <v>8850</v>
      </c>
    </row>
    <row r="54" customFormat="false" ht="15" hidden="false" customHeight="false" outlineLevel="0" collapsed="false">
      <c r="A54" s="21" t="s">
        <v>120</v>
      </c>
      <c r="B54" s="22" t="n">
        <v>45733</v>
      </c>
      <c r="C54" s="23" t="n">
        <f aca="false">YEAR(B54)</f>
        <v>2025</v>
      </c>
      <c r="D54" s="23" t="n">
        <f aca="false">MONTH(B54)</f>
        <v>3</v>
      </c>
      <c r="E54" s="21" t="s">
        <v>48</v>
      </c>
      <c r="F54" s="21" t="s">
        <v>65</v>
      </c>
      <c r="G54" s="21" t="s">
        <v>89</v>
      </c>
      <c r="H54" s="24" t="n">
        <v>12</v>
      </c>
      <c r="I54" s="24" t="n">
        <v>1800</v>
      </c>
      <c r="J54" s="24" t="n">
        <v>500</v>
      </c>
      <c r="K54" s="25" t="n">
        <f aca="false">H54*I54</f>
        <v>21600</v>
      </c>
      <c r="L54" s="25" t="n">
        <f aca="false">H54*(I54-J54)</f>
        <v>15600</v>
      </c>
    </row>
    <row r="55" customFormat="false" ht="15" hidden="false" customHeight="false" outlineLevel="0" collapsed="false">
      <c r="A55" s="21" t="s">
        <v>121</v>
      </c>
      <c r="B55" s="22" t="n">
        <v>45734</v>
      </c>
      <c r="C55" s="23" t="n">
        <f aca="false">YEAR(B55)</f>
        <v>2025</v>
      </c>
      <c r="D55" s="23" t="n">
        <f aca="false">MONTH(B55)</f>
        <v>3</v>
      </c>
      <c r="E55" s="21" t="s">
        <v>48</v>
      </c>
      <c r="F55" s="21" t="s">
        <v>65</v>
      </c>
      <c r="G55" s="21" t="s">
        <v>89</v>
      </c>
      <c r="H55" s="24" t="n">
        <v>19</v>
      </c>
      <c r="I55" s="24" t="n">
        <v>1680</v>
      </c>
      <c r="J55" s="24" t="n">
        <v>500</v>
      </c>
      <c r="K55" s="25" t="n">
        <f aca="false">H55*I55</f>
        <v>31920</v>
      </c>
      <c r="L55" s="25" t="n">
        <f aca="false">H55*(I55-J55)</f>
        <v>22420</v>
      </c>
    </row>
    <row r="56" customFormat="false" ht="15" hidden="false" customHeight="false" outlineLevel="0" collapsed="false">
      <c r="A56" s="21" t="s">
        <v>122</v>
      </c>
      <c r="B56" s="22" t="n">
        <v>45734</v>
      </c>
      <c r="C56" s="23" t="n">
        <f aca="false">YEAR(B56)</f>
        <v>2025</v>
      </c>
      <c r="D56" s="23" t="n">
        <f aca="false">MONTH(B56)</f>
        <v>3</v>
      </c>
      <c r="E56" s="21" t="s">
        <v>76</v>
      </c>
      <c r="F56" s="21" t="s">
        <v>44</v>
      </c>
      <c r="G56" s="21" t="s">
        <v>49</v>
      </c>
      <c r="H56" s="24" t="n">
        <v>2</v>
      </c>
      <c r="I56" s="24" t="n">
        <v>64460</v>
      </c>
      <c r="J56" s="24" t="n">
        <v>48000</v>
      </c>
      <c r="K56" s="25" t="n">
        <f aca="false">H56*I56</f>
        <v>128920</v>
      </c>
      <c r="L56" s="25" t="n">
        <f aca="false">H56*(I56-J56)</f>
        <v>32920</v>
      </c>
    </row>
    <row r="57" customFormat="false" ht="15" hidden="false" customHeight="false" outlineLevel="0" collapsed="false">
      <c r="A57" s="21" t="s">
        <v>123</v>
      </c>
      <c r="B57" s="22" t="n">
        <v>45737</v>
      </c>
      <c r="C57" s="23" t="n">
        <f aca="false">YEAR(B57)</f>
        <v>2025</v>
      </c>
      <c r="D57" s="23" t="n">
        <f aca="false">MONTH(B57)</f>
        <v>3</v>
      </c>
      <c r="E57" s="21" t="s">
        <v>48</v>
      </c>
      <c r="F57" s="21" t="s">
        <v>57</v>
      </c>
      <c r="G57" s="21" t="s">
        <v>74</v>
      </c>
      <c r="H57" s="24" t="n">
        <v>22</v>
      </c>
      <c r="I57" s="24" t="n">
        <v>359</v>
      </c>
      <c r="J57" s="24" t="n">
        <v>170</v>
      </c>
      <c r="K57" s="25" t="n">
        <f aca="false">H57*I57</f>
        <v>7898</v>
      </c>
      <c r="L57" s="25" t="n">
        <f aca="false">H57*(I57-J57)</f>
        <v>4158</v>
      </c>
    </row>
    <row r="58" customFormat="false" ht="15" hidden="false" customHeight="false" outlineLevel="0" collapsed="false">
      <c r="A58" s="21" t="s">
        <v>124</v>
      </c>
      <c r="B58" s="22" t="n">
        <v>45738</v>
      </c>
      <c r="C58" s="23" t="n">
        <f aca="false">YEAR(B58)</f>
        <v>2025</v>
      </c>
      <c r="D58" s="23" t="n">
        <f aca="false">MONTH(B58)</f>
        <v>3</v>
      </c>
      <c r="E58" s="21" t="s">
        <v>43</v>
      </c>
      <c r="F58" s="21" t="s">
        <v>57</v>
      </c>
      <c r="G58" s="21" t="s">
        <v>74</v>
      </c>
      <c r="H58" s="24" t="n">
        <v>31</v>
      </c>
      <c r="I58" s="24" t="n">
        <v>357</v>
      </c>
      <c r="J58" s="24" t="n">
        <v>170</v>
      </c>
      <c r="K58" s="25" t="n">
        <f aca="false">H58*I58</f>
        <v>11067</v>
      </c>
      <c r="L58" s="25" t="n">
        <f aca="false">H58*(I58-J58)</f>
        <v>5797</v>
      </c>
    </row>
    <row r="59" customFormat="false" ht="15" hidden="false" customHeight="false" outlineLevel="0" collapsed="false">
      <c r="A59" s="21" t="s">
        <v>125</v>
      </c>
      <c r="B59" s="22" t="n">
        <v>45738</v>
      </c>
      <c r="C59" s="23" t="n">
        <f aca="false">YEAR(B59)</f>
        <v>2025</v>
      </c>
      <c r="D59" s="23" t="n">
        <f aca="false">MONTH(B59)</f>
        <v>3</v>
      </c>
      <c r="E59" s="21" t="s">
        <v>43</v>
      </c>
      <c r="F59" s="21" t="s">
        <v>65</v>
      </c>
      <c r="G59" s="21" t="s">
        <v>89</v>
      </c>
      <c r="H59" s="24" t="n">
        <v>27</v>
      </c>
      <c r="I59" s="24" t="n">
        <v>1690</v>
      </c>
      <c r="J59" s="24" t="n">
        <v>500</v>
      </c>
      <c r="K59" s="25" t="n">
        <f aca="false">H59*I59</f>
        <v>45630</v>
      </c>
      <c r="L59" s="25" t="n">
        <f aca="false">H59*(I59-J59)</f>
        <v>32130</v>
      </c>
    </row>
    <row r="60" customFormat="false" ht="15" hidden="false" customHeight="false" outlineLevel="0" collapsed="false">
      <c r="A60" s="21" t="s">
        <v>126</v>
      </c>
      <c r="B60" s="22" t="n">
        <v>45739</v>
      </c>
      <c r="C60" s="23" t="n">
        <f aca="false">YEAR(B60)</f>
        <v>2025</v>
      </c>
      <c r="D60" s="23" t="n">
        <f aca="false">MONTH(B60)</f>
        <v>3</v>
      </c>
      <c r="E60" s="21" t="s">
        <v>48</v>
      </c>
      <c r="F60" s="21" t="s">
        <v>62</v>
      </c>
      <c r="G60" s="21" t="s">
        <v>92</v>
      </c>
      <c r="H60" s="24" t="n">
        <v>2</v>
      </c>
      <c r="I60" s="24" t="n">
        <v>13840</v>
      </c>
      <c r="J60" s="24" t="n">
        <v>9000</v>
      </c>
      <c r="K60" s="25" t="n">
        <f aca="false">H60*I60</f>
        <v>27680</v>
      </c>
      <c r="L60" s="25" t="n">
        <f aca="false">H60*(I60-J60)</f>
        <v>9680</v>
      </c>
    </row>
    <row r="61" customFormat="false" ht="15" hidden="false" customHeight="false" outlineLevel="0" collapsed="false">
      <c r="A61" s="21" t="s">
        <v>127</v>
      </c>
      <c r="B61" s="22" t="n">
        <v>45741</v>
      </c>
      <c r="C61" s="23" t="n">
        <f aca="false">YEAR(B61)</f>
        <v>2025</v>
      </c>
      <c r="D61" s="23" t="n">
        <f aca="false">MONTH(B61)</f>
        <v>3</v>
      </c>
      <c r="E61" s="21" t="s">
        <v>56</v>
      </c>
      <c r="F61" s="21" t="s">
        <v>57</v>
      </c>
      <c r="G61" s="21" t="s">
        <v>78</v>
      </c>
      <c r="H61" s="24" t="n">
        <v>20</v>
      </c>
      <c r="I61" s="24" t="n">
        <v>629</v>
      </c>
      <c r="J61" s="24" t="n">
        <v>320</v>
      </c>
      <c r="K61" s="25" t="n">
        <f aca="false">H61*I61</f>
        <v>12580</v>
      </c>
      <c r="L61" s="25" t="n">
        <f aca="false">H61*(I61-J61)</f>
        <v>6180</v>
      </c>
    </row>
    <row r="62" customFormat="false" ht="15" hidden="false" customHeight="false" outlineLevel="0" collapsed="false">
      <c r="A62" s="21" t="s">
        <v>128</v>
      </c>
      <c r="B62" s="22" t="n">
        <v>45741</v>
      </c>
      <c r="C62" s="23" t="n">
        <f aca="false">YEAR(B62)</f>
        <v>2025</v>
      </c>
      <c r="D62" s="23" t="n">
        <f aca="false">MONTH(B62)</f>
        <v>3</v>
      </c>
      <c r="E62" s="21" t="s">
        <v>48</v>
      </c>
      <c r="F62" s="21" t="s">
        <v>57</v>
      </c>
      <c r="G62" s="21" t="s">
        <v>58</v>
      </c>
      <c r="H62" s="24" t="n">
        <v>26</v>
      </c>
      <c r="I62" s="24" t="n">
        <v>1720</v>
      </c>
      <c r="J62" s="24" t="n">
        <v>1250</v>
      </c>
      <c r="K62" s="25" t="n">
        <f aca="false">H62*I62</f>
        <v>44720</v>
      </c>
      <c r="L62" s="25" t="n">
        <f aca="false">H62*(I62-J62)</f>
        <v>12220</v>
      </c>
    </row>
    <row r="63" customFormat="false" ht="15" hidden="false" customHeight="false" outlineLevel="0" collapsed="false">
      <c r="A63" s="21" t="s">
        <v>129</v>
      </c>
      <c r="B63" s="22" t="n">
        <v>45743</v>
      </c>
      <c r="C63" s="23" t="n">
        <f aca="false">YEAR(B63)</f>
        <v>2025</v>
      </c>
      <c r="D63" s="23" t="n">
        <f aca="false">MONTH(B63)</f>
        <v>3</v>
      </c>
      <c r="E63" s="21" t="s">
        <v>43</v>
      </c>
      <c r="F63" s="21" t="s">
        <v>65</v>
      </c>
      <c r="G63" s="21" t="s">
        <v>89</v>
      </c>
      <c r="H63" s="24" t="n">
        <v>16</v>
      </c>
      <c r="I63" s="24" t="n">
        <v>1800</v>
      </c>
      <c r="J63" s="24" t="n">
        <v>500</v>
      </c>
      <c r="K63" s="25" t="n">
        <f aca="false">H63*I63</f>
        <v>28800</v>
      </c>
      <c r="L63" s="25" t="n">
        <f aca="false">H63*(I63-J63)</f>
        <v>20800</v>
      </c>
    </row>
    <row r="64" customFormat="false" ht="15" hidden="false" customHeight="false" outlineLevel="0" collapsed="false">
      <c r="A64" s="21" t="s">
        <v>130</v>
      </c>
      <c r="B64" s="22" t="n">
        <v>45744</v>
      </c>
      <c r="C64" s="23" t="n">
        <f aca="false">YEAR(B64)</f>
        <v>2025</v>
      </c>
      <c r="D64" s="23" t="n">
        <f aca="false">MONTH(B64)</f>
        <v>3</v>
      </c>
      <c r="E64" s="21" t="s">
        <v>56</v>
      </c>
      <c r="F64" s="21" t="s">
        <v>62</v>
      </c>
      <c r="G64" s="21" t="s">
        <v>72</v>
      </c>
      <c r="H64" s="24" t="n">
        <v>4</v>
      </c>
      <c r="I64" s="24" t="n">
        <v>7720</v>
      </c>
      <c r="J64" s="24" t="n">
        <v>4800</v>
      </c>
      <c r="K64" s="25" t="n">
        <f aca="false">H64*I64</f>
        <v>30880</v>
      </c>
      <c r="L64" s="25" t="n">
        <f aca="false">H64*(I64-J64)</f>
        <v>11680</v>
      </c>
    </row>
    <row r="65" customFormat="false" ht="15" hidden="false" customHeight="false" outlineLevel="0" collapsed="false">
      <c r="A65" s="21" t="s">
        <v>131</v>
      </c>
      <c r="B65" s="22" t="n">
        <v>45744</v>
      </c>
      <c r="C65" s="23" t="n">
        <f aca="false">YEAR(B65)</f>
        <v>2025</v>
      </c>
      <c r="D65" s="23" t="n">
        <f aca="false">MONTH(B65)</f>
        <v>3</v>
      </c>
      <c r="E65" s="21" t="s">
        <v>43</v>
      </c>
      <c r="F65" s="21" t="s">
        <v>57</v>
      </c>
      <c r="G65" s="21" t="s">
        <v>58</v>
      </c>
      <c r="H65" s="24" t="n">
        <v>19</v>
      </c>
      <c r="I65" s="24" t="n">
        <v>1860</v>
      </c>
      <c r="J65" s="24" t="n">
        <v>1250</v>
      </c>
      <c r="K65" s="25" t="n">
        <f aca="false">H65*I65</f>
        <v>35340</v>
      </c>
      <c r="L65" s="25" t="n">
        <f aca="false">H65*(I65-J65)</f>
        <v>11590</v>
      </c>
    </row>
    <row r="66" customFormat="false" ht="15" hidden="false" customHeight="false" outlineLevel="0" collapsed="false">
      <c r="A66" s="21" t="s">
        <v>132</v>
      </c>
      <c r="B66" s="22" t="n">
        <v>45745</v>
      </c>
      <c r="C66" s="23" t="n">
        <f aca="false">YEAR(B66)</f>
        <v>2025</v>
      </c>
      <c r="D66" s="23" t="n">
        <f aca="false">MONTH(B66)</f>
        <v>3</v>
      </c>
      <c r="E66" s="21" t="s">
        <v>48</v>
      </c>
      <c r="F66" s="21" t="s">
        <v>65</v>
      </c>
      <c r="G66" s="21" t="s">
        <v>66</v>
      </c>
      <c r="H66" s="24" t="n">
        <v>15</v>
      </c>
      <c r="I66" s="24" t="n">
        <v>4830</v>
      </c>
      <c r="J66" s="24" t="n">
        <v>1900</v>
      </c>
      <c r="K66" s="25" t="n">
        <f aca="false">H66*I66</f>
        <v>72450</v>
      </c>
      <c r="L66" s="25" t="n">
        <f aca="false">H66*(I66-J66)</f>
        <v>43950</v>
      </c>
    </row>
    <row r="67" customFormat="false" ht="15" hidden="false" customHeight="false" outlineLevel="0" collapsed="false">
      <c r="A67" s="21" t="s">
        <v>133</v>
      </c>
      <c r="B67" s="22" t="n">
        <v>45746</v>
      </c>
      <c r="C67" s="23" t="n">
        <f aca="false">YEAR(B67)</f>
        <v>2025</v>
      </c>
      <c r="D67" s="23" t="n">
        <f aca="false">MONTH(B67)</f>
        <v>3</v>
      </c>
      <c r="E67" s="21" t="s">
        <v>48</v>
      </c>
      <c r="F67" s="21" t="s">
        <v>62</v>
      </c>
      <c r="G67" s="21" t="s">
        <v>72</v>
      </c>
      <c r="H67" s="24" t="n">
        <v>4</v>
      </c>
      <c r="I67" s="24" t="n">
        <v>7680</v>
      </c>
      <c r="J67" s="24" t="n">
        <v>4800</v>
      </c>
      <c r="K67" s="25" t="n">
        <f aca="false">H67*I67</f>
        <v>30720</v>
      </c>
      <c r="L67" s="25" t="n">
        <f aca="false">H67*(I67-J67)</f>
        <v>11520</v>
      </c>
    </row>
    <row r="68" customFormat="false" ht="15" hidden="false" customHeight="false" outlineLevel="0" collapsed="false">
      <c r="A68" s="21" t="s">
        <v>134</v>
      </c>
      <c r="B68" s="22" t="n">
        <v>45748</v>
      </c>
      <c r="C68" s="23" t="n">
        <f aca="false">YEAR(B68)</f>
        <v>2025</v>
      </c>
      <c r="D68" s="23" t="n">
        <f aca="false">MONTH(B68)</f>
        <v>4</v>
      </c>
      <c r="E68" s="21" t="s">
        <v>48</v>
      </c>
      <c r="F68" s="21" t="s">
        <v>44</v>
      </c>
      <c r="G68" s="21" t="s">
        <v>45</v>
      </c>
      <c r="H68" s="24" t="n">
        <v>7</v>
      </c>
      <c r="I68" s="24" t="n">
        <v>4470</v>
      </c>
      <c r="J68" s="24" t="n">
        <v>2800</v>
      </c>
      <c r="K68" s="25" t="n">
        <f aca="false">H68*I68</f>
        <v>31290</v>
      </c>
      <c r="L68" s="25" t="n">
        <f aca="false">H68*(I68-J68)</f>
        <v>11690</v>
      </c>
    </row>
    <row r="69" customFormat="false" ht="15" hidden="false" customHeight="false" outlineLevel="0" collapsed="false">
      <c r="A69" s="21" t="s">
        <v>135</v>
      </c>
      <c r="B69" s="22" t="n">
        <v>45749</v>
      </c>
      <c r="C69" s="23" t="n">
        <f aca="false">YEAR(B69)</f>
        <v>2025</v>
      </c>
      <c r="D69" s="23" t="n">
        <f aca="false">MONTH(B69)</f>
        <v>4</v>
      </c>
      <c r="E69" s="21" t="s">
        <v>48</v>
      </c>
      <c r="F69" s="21" t="s">
        <v>65</v>
      </c>
      <c r="G69" s="21" t="s">
        <v>66</v>
      </c>
      <c r="H69" s="24" t="n">
        <v>23</v>
      </c>
      <c r="I69" s="24" t="n">
        <v>4670</v>
      </c>
      <c r="J69" s="24" t="n">
        <v>1900</v>
      </c>
      <c r="K69" s="25" t="n">
        <f aca="false">H69*I69</f>
        <v>107410</v>
      </c>
      <c r="L69" s="25" t="n">
        <f aca="false">H69*(I69-J69)</f>
        <v>63710</v>
      </c>
    </row>
    <row r="70" customFormat="false" ht="15" hidden="false" customHeight="false" outlineLevel="0" collapsed="false">
      <c r="A70" s="21" t="s">
        <v>136</v>
      </c>
      <c r="B70" s="22" t="n">
        <v>45749</v>
      </c>
      <c r="C70" s="23" t="n">
        <f aca="false">YEAR(B70)</f>
        <v>2025</v>
      </c>
      <c r="D70" s="23" t="n">
        <f aca="false">MONTH(B70)</f>
        <v>4</v>
      </c>
      <c r="E70" s="21" t="s">
        <v>56</v>
      </c>
      <c r="F70" s="21" t="s">
        <v>44</v>
      </c>
      <c r="G70" s="21" t="s">
        <v>49</v>
      </c>
      <c r="H70" s="24" t="n">
        <v>3</v>
      </c>
      <c r="I70" s="24" t="n">
        <v>64300</v>
      </c>
      <c r="J70" s="24" t="n">
        <v>48000</v>
      </c>
      <c r="K70" s="25" t="n">
        <f aca="false">H70*I70</f>
        <v>192900</v>
      </c>
      <c r="L70" s="25" t="n">
        <f aca="false">H70*(I70-J70)</f>
        <v>48900</v>
      </c>
    </row>
    <row r="71" customFormat="false" ht="15" hidden="false" customHeight="false" outlineLevel="0" collapsed="false">
      <c r="A71" s="21" t="s">
        <v>137</v>
      </c>
      <c r="B71" s="22" t="n">
        <v>45750</v>
      </c>
      <c r="C71" s="23" t="n">
        <f aca="false">YEAR(B71)</f>
        <v>2025</v>
      </c>
      <c r="D71" s="23" t="n">
        <f aca="false">MONTH(B71)</f>
        <v>4</v>
      </c>
      <c r="E71" s="21" t="s">
        <v>56</v>
      </c>
      <c r="F71" s="21" t="s">
        <v>65</v>
      </c>
      <c r="G71" s="21" t="s">
        <v>89</v>
      </c>
      <c r="H71" s="24" t="n">
        <v>28</v>
      </c>
      <c r="I71" s="24" t="n">
        <v>1850</v>
      </c>
      <c r="J71" s="24" t="n">
        <v>500</v>
      </c>
      <c r="K71" s="25" t="n">
        <f aca="false">H71*I71</f>
        <v>51800</v>
      </c>
      <c r="L71" s="25" t="n">
        <f aca="false">H71*(I71-J71)</f>
        <v>37800</v>
      </c>
    </row>
    <row r="72" customFormat="false" ht="15" hidden="false" customHeight="false" outlineLevel="0" collapsed="false">
      <c r="A72" s="21" t="s">
        <v>138</v>
      </c>
      <c r="B72" s="22" t="n">
        <v>45750</v>
      </c>
      <c r="C72" s="23" t="n">
        <f aca="false">YEAR(B72)</f>
        <v>2025</v>
      </c>
      <c r="D72" s="23" t="n">
        <f aca="false">MONTH(B72)</f>
        <v>4</v>
      </c>
      <c r="E72" s="21" t="s">
        <v>56</v>
      </c>
      <c r="F72" s="21" t="s">
        <v>44</v>
      </c>
      <c r="G72" s="21" t="s">
        <v>69</v>
      </c>
      <c r="H72" s="24" t="n">
        <v>5</v>
      </c>
      <c r="I72" s="24" t="n">
        <v>21380</v>
      </c>
      <c r="J72" s="24" t="n">
        <v>15500</v>
      </c>
      <c r="K72" s="25" t="n">
        <f aca="false">H72*I72</f>
        <v>106900</v>
      </c>
      <c r="L72" s="25" t="n">
        <f aca="false">H72*(I72-J72)</f>
        <v>29400</v>
      </c>
    </row>
    <row r="73" customFormat="false" ht="15" hidden="false" customHeight="false" outlineLevel="0" collapsed="false">
      <c r="A73" s="21" t="s">
        <v>139</v>
      </c>
      <c r="B73" s="22" t="n">
        <v>45750</v>
      </c>
      <c r="C73" s="23" t="n">
        <f aca="false">YEAR(B73)</f>
        <v>2025</v>
      </c>
      <c r="D73" s="23" t="n">
        <f aca="false">MONTH(B73)</f>
        <v>4</v>
      </c>
      <c r="E73" s="21" t="s">
        <v>43</v>
      </c>
      <c r="F73" s="21" t="s">
        <v>44</v>
      </c>
      <c r="G73" s="21" t="s">
        <v>45</v>
      </c>
      <c r="H73" s="24" t="n">
        <v>6</v>
      </c>
      <c r="I73" s="24" t="n">
        <v>4520</v>
      </c>
      <c r="J73" s="24" t="n">
        <v>2800</v>
      </c>
      <c r="K73" s="25" t="n">
        <f aca="false">H73*I73</f>
        <v>27120</v>
      </c>
      <c r="L73" s="25" t="n">
        <f aca="false">H73*(I73-J73)</f>
        <v>10320</v>
      </c>
    </row>
    <row r="74" customFormat="false" ht="15" hidden="false" customHeight="false" outlineLevel="0" collapsed="false">
      <c r="A74" s="21" t="s">
        <v>140</v>
      </c>
      <c r="B74" s="22" t="n">
        <v>45751</v>
      </c>
      <c r="C74" s="23" t="n">
        <f aca="false">YEAR(B74)</f>
        <v>2025</v>
      </c>
      <c r="D74" s="23" t="n">
        <f aca="false">MONTH(B74)</f>
        <v>4</v>
      </c>
      <c r="E74" s="21" t="s">
        <v>56</v>
      </c>
      <c r="F74" s="21" t="s">
        <v>57</v>
      </c>
      <c r="G74" s="21" t="s">
        <v>74</v>
      </c>
      <c r="H74" s="24" t="n">
        <v>27</v>
      </c>
      <c r="I74" s="24" t="n">
        <v>354</v>
      </c>
      <c r="J74" s="24" t="n">
        <v>170</v>
      </c>
      <c r="K74" s="25" t="n">
        <f aca="false">H74*I74</f>
        <v>9558</v>
      </c>
      <c r="L74" s="25" t="n">
        <f aca="false">H74*(I74-J74)</f>
        <v>4968</v>
      </c>
    </row>
    <row r="75" customFormat="false" ht="15" hidden="false" customHeight="false" outlineLevel="0" collapsed="false">
      <c r="A75" s="21" t="s">
        <v>141</v>
      </c>
      <c r="B75" s="22" t="n">
        <v>45752</v>
      </c>
      <c r="C75" s="23" t="n">
        <f aca="false">YEAR(B75)</f>
        <v>2025</v>
      </c>
      <c r="D75" s="23" t="n">
        <f aca="false">MONTH(B75)</f>
        <v>4</v>
      </c>
      <c r="E75" s="21" t="s">
        <v>56</v>
      </c>
      <c r="F75" s="21" t="s">
        <v>65</v>
      </c>
      <c r="G75" s="21" t="s">
        <v>89</v>
      </c>
      <c r="H75" s="24" t="n">
        <v>11</v>
      </c>
      <c r="I75" s="24" t="n">
        <v>1830</v>
      </c>
      <c r="J75" s="24" t="n">
        <v>500</v>
      </c>
      <c r="K75" s="25" t="n">
        <f aca="false">H75*I75</f>
        <v>20130</v>
      </c>
      <c r="L75" s="25" t="n">
        <f aca="false">H75*(I75-J75)</f>
        <v>14630</v>
      </c>
    </row>
    <row r="76" customFormat="false" ht="15" hidden="false" customHeight="false" outlineLevel="0" collapsed="false">
      <c r="A76" s="21" t="s">
        <v>142</v>
      </c>
      <c r="B76" s="22" t="n">
        <v>45755</v>
      </c>
      <c r="C76" s="23" t="n">
        <f aca="false">YEAR(B76)</f>
        <v>2025</v>
      </c>
      <c r="D76" s="23" t="n">
        <f aca="false">MONTH(B76)</f>
        <v>4</v>
      </c>
      <c r="E76" s="21" t="s">
        <v>48</v>
      </c>
      <c r="F76" s="21" t="s">
        <v>44</v>
      </c>
      <c r="G76" s="21" t="s">
        <v>49</v>
      </c>
      <c r="H76" s="24" t="n">
        <v>1</v>
      </c>
      <c r="I76" s="24" t="n">
        <v>58270</v>
      </c>
      <c r="J76" s="24" t="n">
        <v>48000</v>
      </c>
      <c r="K76" s="25" t="n">
        <f aca="false">H76*I76</f>
        <v>58270</v>
      </c>
      <c r="L76" s="25" t="n">
        <f aca="false">H76*(I76-J76)</f>
        <v>10270</v>
      </c>
    </row>
    <row r="77" customFormat="false" ht="15" hidden="false" customHeight="false" outlineLevel="0" collapsed="false">
      <c r="A77" s="21" t="s">
        <v>143</v>
      </c>
      <c r="B77" s="22" t="n">
        <v>45755</v>
      </c>
      <c r="C77" s="23" t="n">
        <f aca="false">YEAR(B77)</f>
        <v>2025</v>
      </c>
      <c r="D77" s="23" t="n">
        <f aca="false">MONTH(B77)</f>
        <v>4</v>
      </c>
      <c r="E77" s="21" t="s">
        <v>56</v>
      </c>
      <c r="F77" s="21" t="s">
        <v>44</v>
      </c>
      <c r="G77" s="21" t="s">
        <v>69</v>
      </c>
      <c r="H77" s="24" t="n">
        <v>2</v>
      </c>
      <c r="I77" s="24" t="n">
        <v>19990</v>
      </c>
      <c r="J77" s="24" t="n">
        <v>15500</v>
      </c>
      <c r="K77" s="25" t="n">
        <f aca="false">H77*I77</f>
        <v>39980</v>
      </c>
      <c r="L77" s="25" t="n">
        <f aca="false">H77*(I77-J77)</f>
        <v>8980</v>
      </c>
    </row>
    <row r="78" customFormat="false" ht="15" hidden="false" customHeight="false" outlineLevel="0" collapsed="false">
      <c r="A78" s="21" t="s">
        <v>144</v>
      </c>
      <c r="B78" s="22" t="n">
        <v>45755</v>
      </c>
      <c r="C78" s="23" t="n">
        <f aca="false">YEAR(B78)</f>
        <v>2025</v>
      </c>
      <c r="D78" s="23" t="n">
        <f aca="false">MONTH(B78)</f>
        <v>4</v>
      </c>
      <c r="E78" s="21" t="s">
        <v>56</v>
      </c>
      <c r="F78" s="21" t="s">
        <v>57</v>
      </c>
      <c r="G78" s="21" t="s">
        <v>74</v>
      </c>
      <c r="H78" s="24" t="n">
        <v>56</v>
      </c>
      <c r="I78" s="24" t="n">
        <v>351</v>
      </c>
      <c r="J78" s="24" t="n">
        <v>170</v>
      </c>
      <c r="K78" s="25" t="n">
        <f aca="false">H78*I78</f>
        <v>19656</v>
      </c>
      <c r="L78" s="25" t="n">
        <f aca="false">H78*(I78-J78)</f>
        <v>10136</v>
      </c>
    </row>
    <row r="79" customFormat="false" ht="15" hidden="false" customHeight="false" outlineLevel="0" collapsed="false">
      <c r="A79" s="21" t="s">
        <v>145</v>
      </c>
      <c r="B79" s="22" t="n">
        <v>45759</v>
      </c>
      <c r="C79" s="23" t="n">
        <f aca="false">YEAR(B79)</f>
        <v>2025</v>
      </c>
      <c r="D79" s="23" t="n">
        <f aca="false">MONTH(B79)</f>
        <v>4</v>
      </c>
      <c r="E79" s="21" t="s">
        <v>56</v>
      </c>
      <c r="F79" s="21" t="s">
        <v>65</v>
      </c>
      <c r="G79" s="21" t="s">
        <v>89</v>
      </c>
      <c r="H79" s="24" t="n">
        <v>10</v>
      </c>
      <c r="I79" s="24" t="n">
        <v>1850</v>
      </c>
      <c r="J79" s="24" t="n">
        <v>500</v>
      </c>
      <c r="K79" s="25" t="n">
        <f aca="false">H79*I79</f>
        <v>18500</v>
      </c>
      <c r="L79" s="25" t="n">
        <f aca="false">H79*(I79-J79)</f>
        <v>13500</v>
      </c>
    </row>
    <row r="80" customFormat="false" ht="15" hidden="false" customHeight="false" outlineLevel="0" collapsed="false">
      <c r="A80" s="21" t="s">
        <v>146</v>
      </c>
      <c r="B80" s="22" t="n">
        <v>45759</v>
      </c>
      <c r="C80" s="23" t="n">
        <f aca="false">YEAR(B80)</f>
        <v>2025</v>
      </c>
      <c r="D80" s="23" t="n">
        <f aca="false">MONTH(B80)</f>
        <v>4</v>
      </c>
      <c r="E80" s="21" t="s">
        <v>61</v>
      </c>
      <c r="F80" s="21" t="s">
        <v>65</v>
      </c>
      <c r="G80" s="21" t="s">
        <v>66</v>
      </c>
      <c r="H80" s="24" t="n">
        <v>11</v>
      </c>
      <c r="I80" s="24" t="n">
        <v>4860</v>
      </c>
      <c r="J80" s="24" t="n">
        <v>1900</v>
      </c>
      <c r="K80" s="25" t="n">
        <f aca="false">H80*I80</f>
        <v>53460</v>
      </c>
      <c r="L80" s="25" t="n">
        <f aca="false">H80*(I80-J80)</f>
        <v>32560</v>
      </c>
    </row>
    <row r="81" customFormat="false" ht="15" hidden="false" customHeight="false" outlineLevel="0" collapsed="false">
      <c r="A81" s="21" t="s">
        <v>147</v>
      </c>
      <c r="B81" s="22" t="n">
        <v>45759</v>
      </c>
      <c r="C81" s="23" t="n">
        <f aca="false">YEAR(B81)</f>
        <v>2025</v>
      </c>
      <c r="D81" s="23" t="n">
        <f aca="false">MONTH(B81)</f>
        <v>4</v>
      </c>
      <c r="E81" s="21" t="s">
        <v>43</v>
      </c>
      <c r="F81" s="21" t="s">
        <v>62</v>
      </c>
      <c r="G81" s="21" t="s">
        <v>92</v>
      </c>
      <c r="H81" s="24" t="n">
        <v>1</v>
      </c>
      <c r="I81" s="24" t="n">
        <v>13240</v>
      </c>
      <c r="J81" s="24" t="n">
        <v>9000</v>
      </c>
      <c r="K81" s="25" t="n">
        <f aca="false">H81*I81</f>
        <v>13240</v>
      </c>
      <c r="L81" s="25" t="n">
        <f aca="false">H81*(I81-J81)</f>
        <v>4240</v>
      </c>
    </row>
    <row r="82" customFormat="false" ht="15" hidden="false" customHeight="false" outlineLevel="0" collapsed="false">
      <c r="A82" s="21" t="s">
        <v>148</v>
      </c>
      <c r="B82" s="22" t="n">
        <v>45760</v>
      </c>
      <c r="C82" s="23" t="n">
        <f aca="false">YEAR(B82)</f>
        <v>2025</v>
      </c>
      <c r="D82" s="23" t="n">
        <f aca="false">MONTH(B82)</f>
        <v>4</v>
      </c>
      <c r="E82" s="21" t="s">
        <v>56</v>
      </c>
      <c r="F82" s="21" t="s">
        <v>65</v>
      </c>
      <c r="G82" s="21" t="s">
        <v>66</v>
      </c>
      <c r="H82" s="24" t="n">
        <v>25</v>
      </c>
      <c r="I82" s="24" t="n">
        <v>4820</v>
      </c>
      <c r="J82" s="24" t="n">
        <v>1900</v>
      </c>
      <c r="K82" s="25" t="n">
        <f aca="false">H82*I82</f>
        <v>120500</v>
      </c>
      <c r="L82" s="25" t="n">
        <f aca="false">H82*(I82-J82)</f>
        <v>73000</v>
      </c>
    </row>
    <row r="83" customFormat="false" ht="15" hidden="false" customHeight="false" outlineLevel="0" collapsed="false">
      <c r="A83" s="21" t="s">
        <v>149</v>
      </c>
      <c r="B83" s="22" t="n">
        <v>45760</v>
      </c>
      <c r="C83" s="23" t="n">
        <f aca="false">YEAR(B83)</f>
        <v>2025</v>
      </c>
      <c r="D83" s="23" t="n">
        <f aca="false">MONTH(B83)</f>
        <v>4</v>
      </c>
      <c r="E83" s="21" t="s">
        <v>56</v>
      </c>
      <c r="F83" s="21" t="s">
        <v>62</v>
      </c>
      <c r="G83" s="21" t="s">
        <v>63</v>
      </c>
      <c r="H83" s="24" t="n">
        <v>3</v>
      </c>
      <c r="I83" s="24" t="n">
        <v>26320</v>
      </c>
      <c r="J83" s="24" t="n">
        <v>19500</v>
      </c>
      <c r="K83" s="25" t="n">
        <f aca="false">H83*I83</f>
        <v>78960</v>
      </c>
      <c r="L83" s="25" t="n">
        <f aca="false">H83*(I83-J83)</f>
        <v>20460</v>
      </c>
    </row>
    <row r="84" customFormat="false" ht="15" hidden="false" customHeight="false" outlineLevel="0" collapsed="false">
      <c r="A84" s="21" t="s">
        <v>150</v>
      </c>
      <c r="B84" s="22" t="n">
        <v>45764</v>
      </c>
      <c r="C84" s="23" t="n">
        <f aca="false">YEAR(B84)</f>
        <v>2025</v>
      </c>
      <c r="D84" s="23" t="n">
        <f aca="false">MONTH(B84)</f>
        <v>4</v>
      </c>
      <c r="E84" s="21" t="s">
        <v>48</v>
      </c>
      <c r="F84" s="21" t="s">
        <v>62</v>
      </c>
      <c r="G84" s="21" t="s">
        <v>63</v>
      </c>
      <c r="H84" s="24" t="n">
        <v>1</v>
      </c>
      <c r="I84" s="24" t="n">
        <v>27440</v>
      </c>
      <c r="J84" s="24" t="n">
        <v>19500</v>
      </c>
      <c r="K84" s="25" t="n">
        <f aca="false">H84*I84</f>
        <v>27440</v>
      </c>
      <c r="L84" s="25" t="n">
        <f aca="false">H84*(I84-J84)</f>
        <v>7940</v>
      </c>
    </row>
    <row r="85" customFormat="false" ht="15" hidden="false" customHeight="false" outlineLevel="0" collapsed="false">
      <c r="A85" s="21" t="s">
        <v>151</v>
      </c>
      <c r="B85" s="22" t="n">
        <v>45764</v>
      </c>
      <c r="C85" s="23" t="n">
        <f aca="false">YEAR(B85)</f>
        <v>2025</v>
      </c>
      <c r="D85" s="23" t="n">
        <f aca="false">MONTH(B85)</f>
        <v>4</v>
      </c>
      <c r="E85" s="21" t="s">
        <v>56</v>
      </c>
      <c r="F85" s="21" t="s">
        <v>57</v>
      </c>
      <c r="G85" s="21" t="s">
        <v>58</v>
      </c>
      <c r="H85" s="24" t="n">
        <v>23</v>
      </c>
      <c r="I85" s="24" t="n">
        <v>1750</v>
      </c>
      <c r="J85" s="24" t="n">
        <v>1250</v>
      </c>
      <c r="K85" s="25" t="n">
        <f aca="false">H85*I85</f>
        <v>40250</v>
      </c>
      <c r="L85" s="25" t="n">
        <f aca="false">H85*(I85-J85)</f>
        <v>11500</v>
      </c>
    </row>
    <row r="86" customFormat="false" ht="15" hidden="false" customHeight="false" outlineLevel="0" collapsed="false">
      <c r="A86" s="21" t="s">
        <v>152</v>
      </c>
      <c r="B86" s="22" t="n">
        <v>45765</v>
      </c>
      <c r="C86" s="23" t="n">
        <f aca="false">YEAR(B86)</f>
        <v>2025</v>
      </c>
      <c r="D86" s="23" t="n">
        <f aca="false">MONTH(B86)</f>
        <v>4</v>
      </c>
      <c r="E86" s="21" t="s">
        <v>48</v>
      </c>
      <c r="F86" s="21" t="s">
        <v>57</v>
      </c>
      <c r="G86" s="21" t="s">
        <v>58</v>
      </c>
      <c r="H86" s="24" t="n">
        <v>26</v>
      </c>
      <c r="I86" s="24" t="n">
        <v>1720</v>
      </c>
      <c r="J86" s="24" t="n">
        <v>1250</v>
      </c>
      <c r="K86" s="25" t="n">
        <f aca="false">H86*I86</f>
        <v>44720</v>
      </c>
      <c r="L86" s="25" t="n">
        <f aca="false">H86*(I86-J86)</f>
        <v>12220</v>
      </c>
    </row>
    <row r="87" customFormat="false" ht="15" hidden="false" customHeight="false" outlineLevel="0" collapsed="false">
      <c r="A87" s="21" t="s">
        <v>153</v>
      </c>
      <c r="B87" s="22" t="n">
        <v>45765</v>
      </c>
      <c r="C87" s="23" t="n">
        <f aca="false">YEAR(B87)</f>
        <v>2025</v>
      </c>
      <c r="D87" s="23" t="n">
        <f aca="false">MONTH(B87)</f>
        <v>4</v>
      </c>
      <c r="E87" s="21" t="s">
        <v>61</v>
      </c>
      <c r="F87" s="21" t="s">
        <v>44</v>
      </c>
      <c r="G87" s="21" t="s">
        <v>49</v>
      </c>
      <c r="H87" s="24" t="n">
        <v>3</v>
      </c>
      <c r="I87" s="24" t="n">
        <v>59900</v>
      </c>
      <c r="J87" s="24" t="n">
        <v>48000</v>
      </c>
      <c r="K87" s="25" t="n">
        <f aca="false">H87*I87</f>
        <v>179700</v>
      </c>
      <c r="L87" s="25" t="n">
        <f aca="false">H87*(I87-J87)</f>
        <v>35700</v>
      </c>
    </row>
    <row r="88" customFormat="false" ht="15" hidden="false" customHeight="false" outlineLevel="0" collapsed="false">
      <c r="A88" s="21" t="s">
        <v>154</v>
      </c>
      <c r="B88" s="22" t="n">
        <v>45765</v>
      </c>
      <c r="C88" s="23" t="n">
        <f aca="false">YEAR(B88)</f>
        <v>2025</v>
      </c>
      <c r="D88" s="23" t="n">
        <f aca="false">MONTH(B88)</f>
        <v>4</v>
      </c>
      <c r="E88" s="21" t="s">
        <v>56</v>
      </c>
      <c r="F88" s="21" t="s">
        <v>57</v>
      </c>
      <c r="G88" s="21" t="s">
        <v>58</v>
      </c>
      <c r="H88" s="24" t="n">
        <v>25</v>
      </c>
      <c r="I88" s="24" t="n">
        <v>1840</v>
      </c>
      <c r="J88" s="24" t="n">
        <v>1250</v>
      </c>
      <c r="K88" s="25" t="n">
        <f aca="false">H88*I88</f>
        <v>46000</v>
      </c>
      <c r="L88" s="25" t="n">
        <f aca="false">H88*(I88-J88)</f>
        <v>14750</v>
      </c>
    </row>
    <row r="89" customFormat="false" ht="15" hidden="false" customHeight="false" outlineLevel="0" collapsed="false">
      <c r="A89" s="21" t="s">
        <v>155</v>
      </c>
      <c r="B89" s="22" t="n">
        <v>45765</v>
      </c>
      <c r="C89" s="23" t="n">
        <f aca="false">YEAR(B89)</f>
        <v>2025</v>
      </c>
      <c r="D89" s="23" t="n">
        <f aca="false">MONTH(B89)</f>
        <v>4</v>
      </c>
      <c r="E89" s="21" t="s">
        <v>48</v>
      </c>
      <c r="F89" s="21" t="s">
        <v>65</v>
      </c>
      <c r="G89" s="21" t="s">
        <v>89</v>
      </c>
      <c r="H89" s="24" t="n">
        <v>15</v>
      </c>
      <c r="I89" s="24" t="n">
        <v>1700</v>
      </c>
      <c r="J89" s="24" t="n">
        <v>500</v>
      </c>
      <c r="K89" s="25" t="n">
        <f aca="false">H89*I89</f>
        <v>25500</v>
      </c>
      <c r="L89" s="25" t="n">
        <f aca="false">H89*(I89-J89)</f>
        <v>18000</v>
      </c>
    </row>
    <row r="90" customFormat="false" ht="15" hidden="false" customHeight="false" outlineLevel="0" collapsed="false">
      <c r="A90" s="21" t="s">
        <v>156</v>
      </c>
      <c r="B90" s="22" t="n">
        <v>45768</v>
      </c>
      <c r="C90" s="23" t="n">
        <f aca="false">YEAR(B90)</f>
        <v>2025</v>
      </c>
      <c r="D90" s="23" t="n">
        <f aca="false">MONTH(B90)</f>
        <v>4</v>
      </c>
      <c r="E90" s="21" t="s">
        <v>43</v>
      </c>
      <c r="F90" s="21" t="s">
        <v>44</v>
      </c>
      <c r="G90" s="21" t="s">
        <v>49</v>
      </c>
      <c r="H90" s="24" t="n">
        <v>2</v>
      </c>
      <c r="I90" s="24" t="n">
        <v>58450</v>
      </c>
      <c r="J90" s="24" t="n">
        <v>48000</v>
      </c>
      <c r="K90" s="25" t="n">
        <f aca="false">H90*I90</f>
        <v>116900</v>
      </c>
      <c r="L90" s="25" t="n">
        <f aca="false">H90*(I90-J90)</f>
        <v>20900</v>
      </c>
    </row>
    <row r="91" customFormat="false" ht="15" hidden="false" customHeight="false" outlineLevel="0" collapsed="false">
      <c r="A91" s="21" t="s">
        <v>157</v>
      </c>
      <c r="B91" s="22" t="n">
        <v>45770</v>
      </c>
      <c r="C91" s="23" t="n">
        <f aca="false">YEAR(B91)</f>
        <v>2025</v>
      </c>
      <c r="D91" s="23" t="n">
        <f aca="false">MONTH(B91)</f>
        <v>4</v>
      </c>
      <c r="E91" s="21" t="s">
        <v>76</v>
      </c>
      <c r="F91" s="21" t="s">
        <v>44</v>
      </c>
      <c r="G91" s="21" t="s">
        <v>69</v>
      </c>
      <c r="H91" s="24" t="n">
        <v>4</v>
      </c>
      <c r="I91" s="24" t="n">
        <v>20580</v>
      </c>
      <c r="J91" s="24" t="n">
        <v>15500</v>
      </c>
      <c r="K91" s="25" t="n">
        <f aca="false">H91*I91</f>
        <v>82320</v>
      </c>
      <c r="L91" s="25" t="n">
        <f aca="false">H91*(I91-J91)</f>
        <v>20320</v>
      </c>
    </row>
    <row r="92" customFormat="false" ht="15" hidden="false" customHeight="false" outlineLevel="0" collapsed="false">
      <c r="A92" s="21" t="s">
        <v>158</v>
      </c>
      <c r="B92" s="22" t="n">
        <v>45771</v>
      </c>
      <c r="C92" s="23" t="n">
        <f aca="false">YEAR(B92)</f>
        <v>2025</v>
      </c>
      <c r="D92" s="23" t="n">
        <f aca="false">MONTH(B92)</f>
        <v>4</v>
      </c>
      <c r="E92" s="21" t="s">
        <v>56</v>
      </c>
      <c r="F92" s="21" t="s">
        <v>57</v>
      </c>
      <c r="G92" s="21" t="s">
        <v>58</v>
      </c>
      <c r="H92" s="24" t="n">
        <v>22</v>
      </c>
      <c r="I92" s="24" t="n">
        <v>1760</v>
      </c>
      <c r="J92" s="24" t="n">
        <v>1250</v>
      </c>
      <c r="K92" s="25" t="n">
        <f aca="false">H92*I92</f>
        <v>38720</v>
      </c>
      <c r="L92" s="25" t="n">
        <f aca="false">H92*(I92-J92)</f>
        <v>11220</v>
      </c>
    </row>
    <row r="93" customFormat="false" ht="15" hidden="false" customHeight="false" outlineLevel="0" collapsed="false">
      <c r="A93" s="21" t="s">
        <v>159</v>
      </c>
      <c r="B93" s="22" t="n">
        <v>45773</v>
      </c>
      <c r="C93" s="23" t="n">
        <f aca="false">YEAR(B93)</f>
        <v>2025</v>
      </c>
      <c r="D93" s="23" t="n">
        <f aca="false">MONTH(B93)</f>
        <v>4</v>
      </c>
      <c r="E93" s="21" t="s">
        <v>43</v>
      </c>
      <c r="F93" s="21" t="s">
        <v>57</v>
      </c>
      <c r="G93" s="21" t="s">
        <v>74</v>
      </c>
      <c r="H93" s="24" t="n">
        <v>63</v>
      </c>
      <c r="I93" s="24" t="n">
        <v>355</v>
      </c>
      <c r="J93" s="24" t="n">
        <v>170</v>
      </c>
      <c r="K93" s="25" t="n">
        <f aca="false">H93*I93</f>
        <v>22365</v>
      </c>
      <c r="L93" s="25" t="n">
        <f aca="false">H93*(I93-J93)</f>
        <v>11655</v>
      </c>
    </row>
    <row r="94" customFormat="false" ht="15" hidden="false" customHeight="false" outlineLevel="0" collapsed="false">
      <c r="A94" s="21" t="s">
        <v>160</v>
      </c>
      <c r="B94" s="22" t="n">
        <v>45780</v>
      </c>
      <c r="C94" s="23" t="n">
        <f aca="false">YEAR(B94)</f>
        <v>2025</v>
      </c>
      <c r="D94" s="23" t="n">
        <f aca="false">MONTH(B94)</f>
        <v>5</v>
      </c>
      <c r="E94" s="21" t="s">
        <v>76</v>
      </c>
      <c r="F94" s="21" t="s">
        <v>65</v>
      </c>
      <c r="G94" s="21" t="s">
        <v>81</v>
      </c>
      <c r="H94" s="24" t="n">
        <v>9</v>
      </c>
      <c r="I94" s="24" t="n">
        <v>8870</v>
      </c>
      <c r="J94" s="24" t="n">
        <v>2500</v>
      </c>
      <c r="K94" s="25" t="n">
        <f aca="false">H94*I94</f>
        <v>79830</v>
      </c>
      <c r="L94" s="25" t="n">
        <f aca="false">H94*(I94-J94)</f>
        <v>57330</v>
      </c>
    </row>
    <row r="95" customFormat="false" ht="15" hidden="false" customHeight="false" outlineLevel="0" collapsed="false">
      <c r="A95" s="21" t="s">
        <v>161</v>
      </c>
      <c r="B95" s="22" t="n">
        <v>45783</v>
      </c>
      <c r="C95" s="23" t="n">
        <f aca="false">YEAR(B95)</f>
        <v>2025</v>
      </c>
      <c r="D95" s="23" t="n">
        <f aca="false">MONTH(B95)</f>
        <v>5</v>
      </c>
      <c r="E95" s="21" t="s">
        <v>48</v>
      </c>
      <c r="F95" s="21" t="s">
        <v>62</v>
      </c>
      <c r="G95" s="21" t="s">
        <v>92</v>
      </c>
      <c r="H95" s="24" t="n">
        <v>2</v>
      </c>
      <c r="I95" s="24" t="n">
        <v>14340</v>
      </c>
      <c r="J95" s="24" t="n">
        <v>9000</v>
      </c>
      <c r="K95" s="25" t="n">
        <f aca="false">H95*I95</f>
        <v>28680</v>
      </c>
      <c r="L95" s="25" t="n">
        <f aca="false">H95*(I95-J95)</f>
        <v>10680</v>
      </c>
    </row>
    <row r="96" customFormat="false" ht="15" hidden="false" customHeight="false" outlineLevel="0" collapsed="false">
      <c r="A96" s="21" t="s">
        <v>162</v>
      </c>
      <c r="B96" s="22" t="n">
        <v>45784</v>
      </c>
      <c r="C96" s="23" t="n">
        <f aca="false">YEAR(B96)</f>
        <v>2025</v>
      </c>
      <c r="D96" s="23" t="n">
        <f aca="false">MONTH(B96)</f>
        <v>5</v>
      </c>
      <c r="E96" s="21" t="s">
        <v>56</v>
      </c>
      <c r="F96" s="21" t="s">
        <v>44</v>
      </c>
      <c r="G96" s="21" t="s">
        <v>45</v>
      </c>
      <c r="H96" s="24" t="n">
        <v>10</v>
      </c>
      <c r="I96" s="24" t="n">
        <v>4630</v>
      </c>
      <c r="J96" s="24" t="n">
        <v>2800</v>
      </c>
      <c r="K96" s="25" t="n">
        <f aca="false">H96*I96</f>
        <v>46300</v>
      </c>
      <c r="L96" s="25" t="n">
        <f aca="false">H96*(I96-J96)</f>
        <v>18300</v>
      </c>
    </row>
    <row r="97" customFormat="false" ht="15" hidden="false" customHeight="false" outlineLevel="0" collapsed="false">
      <c r="A97" s="21" t="s">
        <v>163</v>
      </c>
      <c r="B97" s="22" t="n">
        <v>45785</v>
      </c>
      <c r="C97" s="23" t="n">
        <f aca="false">YEAR(B97)</f>
        <v>2025</v>
      </c>
      <c r="D97" s="23" t="n">
        <f aca="false">MONTH(B97)</f>
        <v>5</v>
      </c>
      <c r="E97" s="21" t="s">
        <v>43</v>
      </c>
      <c r="F97" s="21" t="s">
        <v>57</v>
      </c>
      <c r="G97" s="21" t="s">
        <v>58</v>
      </c>
      <c r="H97" s="24" t="n">
        <v>13</v>
      </c>
      <c r="I97" s="24" t="n">
        <v>1710</v>
      </c>
      <c r="J97" s="24" t="n">
        <v>1250</v>
      </c>
      <c r="K97" s="25" t="n">
        <f aca="false">H97*I97</f>
        <v>22230</v>
      </c>
      <c r="L97" s="25" t="n">
        <f aca="false">H97*(I97-J97)</f>
        <v>5980</v>
      </c>
    </row>
    <row r="98" customFormat="false" ht="15" hidden="false" customHeight="false" outlineLevel="0" collapsed="false">
      <c r="A98" s="21" t="s">
        <v>164</v>
      </c>
      <c r="B98" s="22" t="n">
        <v>45785</v>
      </c>
      <c r="C98" s="23" t="n">
        <f aca="false">YEAR(B98)</f>
        <v>2025</v>
      </c>
      <c r="D98" s="23" t="n">
        <f aca="false">MONTH(B98)</f>
        <v>5</v>
      </c>
      <c r="E98" s="21" t="s">
        <v>56</v>
      </c>
      <c r="F98" s="21" t="s">
        <v>44</v>
      </c>
      <c r="G98" s="21" t="s">
        <v>45</v>
      </c>
      <c r="H98" s="24" t="n">
        <v>9</v>
      </c>
      <c r="I98" s="24" t="n">
        <v>4230</v>
      </c>
      <c r="J98" s="24" t="n">
        <v>2800</v>
      </c>
      <c r="K98" s="25" t="n">
        <f aca="false">H98*I98</f>
        <v>38070</v>
      </c>
      <c r="L98" s="25" t="n">
        <f aca="false">H98*(I98-J98)</f>
        <v>12870</v>
      </c>
    </row>
    <row r="99" customFormat="false" ht="15" hidden="false" customHeight="false" outlineLevel="0" collapsed="false">
      <c r="A99" s="21" t="s">
        <v>165</v>
      </c>
      <c r="B99" s="22" t="n">
        <v>45786</v>
      </c>
      <c r="C99" s="23" t="n">
        <f aca="false">YEAR(B99)</f>
        <v>2025</v>
      </c>
      <c r="D99" s="23" t="n">
        <f aca="false">MONTH(B99)</f>
        <v>5</v>
      </c>
      <c r="E99" s="21" t="s">
        <v>76</v>
      </c>
      <c r="F99" s="21" t="s">
        <v>44</v>
      </c>
      <c r="G99" s="21" t="s">
        <v>45</v>
      </c>
      <c r="H99" s="24" t="n">
        <v>2</v>
      </c>
      <c r="I99" s="24" t="n">
        <v>4210</v>
      </c>
      <c r="J99" s="24" t="n">
        <v>2800</v>
      </c>
      <c r="K99" s="25" t="n">
        <f aca="false">H99*I99</f>
        <v>8420</v>
      </c>
      <c r="L99" s="25" t="n">
        <f aca="false">H99*(I99-J99)</f>
        <v>2820</v>
      </c>
    </row>
    <row r="100" customFormat="false" ht="15" hidden="false" customHeight="false" outlineLevel="0" collapsed="false">
      <c r="A100" s="21" t="s">
        <v>166</v>
      </c>
      <c r="B100" s="22" t="n">
        <v>45787</v>
      </c>
      <c r="C100" s="23" t="n">
        <f aca="false">YEAR(B100)</f>
        <v>2025</v>
      </c>
      <c r="D100" s="23" t="n">
        <f aca="false">MONTH(B100)</f>
        <v>5</v>
      </c>
      <c r="E100" s="21" t="s">
        <v>61</v>
      </c>
      <c r="F100" s="21" t="s">
        <v>62</v>
      </c>
      <c r="G100" s="21" t="s">
        <v>92</v>
      </c>
      <c r="H100" s="24" t="n">
        <v>5</v>
      </c>
      <c r="I100" s="24" t="n">
        <v>13340</v>
      </c>
      <c r="J100" s="24" t="n">
        <v>9000</v>
      </c>
      <c r="K100" s="25" t="n">
        <f aca="false">H100*I100</f>
        <v>66700</v>
      </c>
      <c r="L100" s="25" t="n">
        <f aca="false">H100*(I100-J100)</f>
        <v>21700</v>
      </c>
    </row>
    <row r="101" customFormat="false" ht="15" hidden="false" customHeight="false" outlineLevel="0" collapsed="false">
      <c r="A101" s="21" t="s">
        <v>167</v>
      </c>
      <c r="B101" s="22" t="n">
        <v>45787</v>
      </c>
      <c r="C101" s="23" t="n">
        <f aca="false">YEAR(B101)</f>
        <v>2025</v>
      </c>
      <c r="D101" s="23" t="n">
        <f aca="false">MONTH(B101)</f>
        <v>5</v>
      </c>
      <c r="E101" s="21" t="s">
        <v>76</v>
      </c>
      <c r="F101" s="21" t="s">
        <v>65</v>
      </c>
      <c r="G101" s="21" t="s">
        <v>81</v>
      </c>
      <c r="H101" s="24" t="n">
        <v>19</v>
      </c>
      <c r="I101" s="24" t="n">
        <v>9060</v>
      </c>
      <c r="J101" s="24" t="n">
        <v>2500</v>
      </c>
      <c r="K101" s="25" t="n">
        <f aca="false">H101*I101</f>
        <v>172140</v>
      </c>
      <c r="L101" s="25" t="n">
        <f aca="false">H101*(I101-J101)</f>
        <v>124640</v>
      </c>
    </row>
    <row r="102" customFormat="false" ht="15" hidden="false" customHeight="false" outlineLevel="0" collapsed="false">
      <c r="A102" s="21" t="s">
        <v>168</v>
      </c>
      <c r="B102" s="22" t="n">
        <v>45791</v>
      </c>
      <c r="C102" s="23" t="n">
        <f aca="false">YEAR(B102)</f>
        <v>2025</v>
      </c>
      <c r="D102" s="23" t="n">
        <f aca="false">MONTH(B102)</f>
        <v>5</v>
      </c>
      <c r="E102" s="21" t="s">
        <v>48</v>
      </c>
      <c r="F102" s="21" t="s">
        <v>65</v>
      </c>
      <c r="G102" s="21" t="s">
        <v>89</v>
      </c>
      <c r="H102" s="24" t="n">
        <v>6</v>
      </c>
      <c r="I102" s="24" t="n">
        <v>1830</v>
      </c>
      <c r="J102" s="24" t="n">
        <v>500</v>
      </c>
      <c r="K102" s="25" t="n">
        <f aca="false">H102*I102</f>
        <v>10980</v>
      </c>
      <c r="L102" s="25" t="n">
        <f aca="false">H102*(I102-J102)</f>
        <v>7980</v>
      </c>
    </row>
    <row r="103" customFormat="false" ht="15" hidden="false" customHeight="false" outlineLevel="0" collapsed="false">
      <c r="A103" s="21" t="s">
        <v>169</v>
      </c>
      <c r="B103" s="22" t="n">
        <v>45792</v>
      </c>
      <c r="C103" s="23" t="n">
        <f aca="false">YEAR(B103)</f>
        <v>2025</v>
      </c>
      <c r="D103" s="23" t="n">
        <f aca="false">MONTH(B103)</f>
        <v>5</v>
      </c>
      <c r="E103" s="21" t="s">
        <v>48</v>
      </c>
      <c r="F103" s="21" t="s">
        <v>57</v>
      </c>
      <c r="G103" s="21" t="s">
        <v>78</v>
      </c>
      <c r="H103" s="24" t="n">
        <v>19</v>
      </c>
      <c r="I103" s="24" t="n">
        <v>682</v>
      </c>
      <c r="J103" s="24" t="n">
        <v>320</v>
      </c>
      <c r="K103" s="25" t="n">
        <f aca="false">H103*I103</f>
        <v>12958</v>
      </c>
      <c r="L103" s="25" t="n">
        <f aca="false">H103*(I103-J103)</f>
        <v>6878</v>
      </c>
    </row>
    <row r="104" customFormat="false" ht="15" hidden="false" customHeight="false" outlineLevel="0" collapsed="false">
      <c r="A104" s="21" t="s">
        <v>170</v>
      </c>
      <c r="B104" s="22" t="n">
        <v>45793</v>
      </c>
      <c r="C104" s="23" t="n">
        <f aca="false">YEAR(B104)</f>
        <v>2025</v>
      </c>
      <c r="D104" s="23" t="n">
        <f aca="false">MONTH(B104)</f>
        <v>5</v>
      </c>
      <c r="E104" s="21" t="s">
        <v>56</v>
      </c>
      <c r="F104" s="21" t="s">
        <v>57</v>
      </c>
      <c r="G104" s="21" t="s">
        <v>78</v>
      </c>
      <c r="H104" s="24" t="n">
        <v>17</v>
      </c>
      <c r="I104" s="24" t="n">
        <v>660</v>
      </c>
      <c r="J104" s="24" t="n">
        <v>320</v>
      </c>
      <c r="K104" s="25" t="n">
        <f aca="false">H104*I104</f>
        <v>11220</v>
      </c>
      <c r="L104" s="25" t="n">
        <f aca="false">H104*(I104-J104)</f>
        <v>5780</v>
      </c>
    </row>
    <row r="105" customFormat="false" ht="15" hidden="false" customHeight="false" outlineLevel="0" collapsed="false">
      <c r="A105" s="21" t="s">
        <v>171</v>
      </c>
      <c r="B105" s="22" t="n">
        <v>45794</v>
      </c>
      <c r="C105" s="23" t="n">
        <f aca="false">YEAR(B105)</f>
        <v>2025</v>
      </c>
      <c r="D105" s="23" t="n">
        <f aca="false">MONTH(B105)</f>
        <v>5</v>
      </c>
      <c r="E105" s="21" t="s">
        <v>43</v>
      </c>
      <c r="F105" s="21" t="s">
        <v>44</v>
      </c>
      <c r="G105" s="21" t="s">
        <v>49</v>
      </c>
      <c r="H105" s="24" t="n">
        <v>1</v>
      </c>
      <c r="I105" s="24" t="n">
        <v>61680</v>
      </c>
      <c r="J105" s="24" t="n">
        <v>48000</v>
      </c>
      <c r="K105" s="25" t="n">
        <f aca="false">H105*I105</f>
        <v>61680</v>
      </c>
      <c r="L105" s="25" t="n">
        <f aca="false">H105*(I105-J105)</f>
        <v>13680</v>
      </c>
    </row>
    <row r="106" customFormat="false" ht="15" hidden="false" customHeight="false" outlineLevel="0" collapsed="false">
      <c r="A106" s="21" t="s">
        <v>172</v>
      </c>
      <c r="B106" s="22" t="n">
        <v>45796</v>
      </c>
      <c r="C106" s="23" t="n">
        <f aca="false">YEAR(B106)</f>
        <v>2025</v>
      </c>
      <c r="D106" s="23" t="n">
        <f aca="false">MONTH(B106)</f>
        <v>5</v>
      </c>
      <c r="E106" s="21" t="s">
        <v>48</v>
      </c>
      <c r="F106" s="21" t="s">
        <v>44</v>
      </c>
      <c r="G106" s="21" t="s">
        <v>49</v>
      </c>
      <c r="H106" s="24" t="n">
        <v>1</v>
      </c>
      <c r="I106" s="24" t="n">
        <v>62720</v>
      </c>
      <c r="J106" s="24" t="n">
        <v>48000</v>
      </c>
      <c r="K106" s="25" t="n">
        <f aca="false">H106*I106</f>
        <v>62720</v>
      </c>
      <c r="L106" s="25" t="n">
        <f aca="false">H106*(I106-J106)</f>
        <v>14720</v>
      </c>
    </row>
    <row r="107" customFormat="false" ht="15" hidden="false" customHeight="false" outlineLevel="0" collapsed="false">
      <c r="A107" s="21" t="s">
        <v>173</v>
      </c>
      <c r="B107" s="22" t="n">
        <v>45797</v>
      </c>
      <c r="C107" s="23" t="n">
        <f aca="false">YEAR(B107)</f>
        <v>2025</v>
      </c>
      <c r="D107" s="23" t="n">
        <f aca="false">MONTH(B107)</f>
        <v>5</v>
      </c>
      <c r="E107" s="21" t="s">
        <v>56</v>
      </c>
      <c r="F107" s="21" t="s">
        <v>57</v>
      </c>
      <c r="G107" s="21" t="s">
        <v>78</v>
      </c>
      <c r="H107" s="24" t="n">
        <v>40</v>
      </c>
      <c r="I107" s="24" t="n">
        <v>647</v>
      </c>
      <c r="J107" s="24" t="n">
        <v>320</v>
      </c>
      <c r="K107" s="25" t="n">
        <f aca="false">H107*I107</f>
        <v>25880</v>
      </c>
      <c r="L107" s="25" t="n">
        <f aca="false">H107*(I107-J107)</f>
        <v>13080</v>
      </c>
    </row>
    <row r="108" customFormat="false" ht="15" hidden="false" customHeight="false" outlineLevel="0" collapsed="false">
      <c r="A108" s="21" t="s">
        <v>174</v>
      </c>
      <c r="B108" s="22" t="n">
        <v>45800</v>
      </c>
      <c r="C108" s="23" t="n">
        <f aca="false">YEAR(B108)</f>
        <v>2025</v>
      </c>
      <c r="D108" s="23" t="n">
        <f aca="false">MONTH(B108)</f>
        <v>5</v>
      </c>
      <c r="E108" s="21" t="s">
        <v>76</v>
      </c>
      <c r="F108" s="21" t="s">
        <v>62</v>
      </c>
      <c r="G108" s="21" t="s">
        <v>92</v>
      </c>
      <c r="H108" s="24" t="n">
        <v>4</v>
      </c>
      <c r="I108" s="24" t="n">
        <v>13800</v>
      </c>
      <c r="J108" s="24" t="n">
        <v>9000</v>
      </c>
      <c r="K108" s="25" t="n">
        <f aca="false">H108*I108</f>
        <v>55200</v>
      </c>
      <c r="L108" s="25" t="n">
        <f aca="false">H108*(I108-J108)</f>
        <v>19200</v>
      </c>
    </row>
    <row r="109" customFormat="false" ht="15" hidden="false" customHeight="false" outlineLevel="0" collapsed="false">
      <c r="A109" s="21" t="s">
        <v>175</v>
      </c>
      <c r="B109" s="22" t="n">
        <v>45802</v>
      </c>
      <c r="C109" s="23" t="n">
        <f aca="false">YEAR(B109)</f>
        <v>2025</v>
      </c>
      <c r="D109" s="23" t="n">
        <f aca="false">MONTH(B109)</f>
        <v>5</v>
      </c>
      <c r="E109" s="21" t="s">
        <v>43</v>
      </c>
      <c r="F109" s="21" t="s">
        <v>65</v>
      </c>
      <c r="G109" s="21" t="s">
        <v>66</v>
      </c>
      <c r="H109" s="24" t="n">
        <v>23</v>
      </c>
      <c r="I109" s="24" t="n">
        <v>4740</v>
      </c>
      <c r="J109" s="24" t="n">
        <v>1900</v>
      </c>
      <c r="K109" s="25" t="n">
        <f aca="false">H109*I109</f>
        <v>109020</v>
      </c>
      <c r="L109" s="25" t="n">
        <f aca="false">H109*(I109-J109)</f>
        <v>65320</v>
      </c>
    </row>
    <row r="110" customFormat="false" ht="15" hidden="false" customHeight="false" outlineLevel="0" collapsed="false">
      <c r="A110" s="21" t="s">
        <v>176</v>
      </c>
      <c r="B110" s="22" t="n">
        <v>45802</v>
      </c>
      <c r="C110" s="23" t="n">
        <f aca="false">YEAR(B110)</f>
        <v>2025</v>
      </c>
      <c r="D110" s="23" t="n">
        <f aca="false">MONTH(B110)</f>
        <v>5</v>
      </c>
      <c r="E110" s="21" t="s">
        <v>61</v>
      </c>
      <c r="F110" s="21" t="s">
        <v>62</v>
      </c>
      <c r="G110" s="21" t="s">
        <v>72</v>
      </c>
      <c r="H110" s="24" t="n">
        <v>1</v>
      </c>
      <c r="I110" s="24" t="n">
        <v>7800</v>
      </c>
      <c r="J110" s="24" t="n">
        <v>4800</v>
      </c>
      <c r="K110" s="25" t="n">
        <f aca="false">H110*I110</f>
        <v>7800</v>
      </c>
      <c r="L110" s="25" t="n">
        <f aca="false">H110*(I110-J110)</f>
        <v>3000</v>
      </c>
    </row>
    <row r="111" customFormat="false" ht="15" hidden="false" customHeight="false" outlineLevel="0" collapsed="false">
      <c r="A111" s="21" t="s">
        <v>177</v>
      </c>
      <c r="B111" s="22" t="n">
        <v>45803</v>
      </c>
      <c r="C111" s="23" t="n">
        <f aca="false">YEAR(B111)</f>
        <v>2025</v>
      </c>
      <c r="D111" s="23" t="n">
        <f aca="false">MONTH(B111)</f>
        <v>5</v>
      </c>
      <c r="E111" s="21" t="s">
        <v>48</v>
      </c>
      <c r="F111" s="21" t="s">
        <v>65</v>
      </c>
      <c r="G111" s="21" t="s">
        <v>81</v>
      </c>
      <c r="H111" s="24" t="n">
        <v>4</v>
      </c>
      <c r="I111" s="24" t="n">
        <v>9350</v>
      </c>
      <c r="J111" s="24" t="n">
        <v>2500</v>
      </c>
      <c r="K111" s="25" t="n">
        <f aca="false">H111*I111</f>
        <v>37400</v>
      </c>
      <c r="L111" s="25" t="n">
        <f aca="false">H111*(I111-J111)</f>
        <v>27400</v>
      </c>
    </row>
    <row r="112" customFormat="false" ht="15" hidden="false" customHeight="false" outlineLevel="0" collapsed="false">
      <c r="A112" s="21" t="s">
        <v>178</v>
      </c>
      <c r="B112" s="22" t="n">
        <v>45804</v>
      </c>
      <c r="C112" s="23" t="n">
        <f aca="false">YEAR(B112)</f>
        <v>2025</v>
      </c>
      <c r="D112" s="23" t="n">
        <f aca="false">MONTH(B112)</f>
        <v>5</v>
      </c>
      <c r="E112" s="21" t="s">
        <v>43</v>
      </c>
      <c r="F112" s="21" t="s">
        <v>65</v>
      </c>
      <c r="G112" s="21" t="s">
        <v>89</v>
      </c>
      <c r="H112" s="24" t="n">
        <v>4</v>
      </c>
      <c r="I112" s="24" t="n">
        <v>1740</v>
      </c>
      <c r="J112" s="24" t="n">
        <v>500</v>
      </c>
      <c r="K112" s="25" t="n">
        <f aca="false">H112*I112</f>
        <v>6960</v>
      </c>
      <c r="L112" s="25" t="n">
        <f aca="false">H112*(I112-J112)</f>
        <v>4960</v>
      </c>
    </row>
    <row r="113" customFormat="false" ht="15" hidden="false" customHeight="false" outlineLevel="0" collapsed="false">
      <c r="A113" s="21" t="s">
        <v>179</v>
      </c>
      <c r="B113" s="22" t="n">
        <v>45807</v>
      </c>
      <c r="C113" s="23" t="n">
        <f aca="false">YEAR(B113)</f>
        <v>2025</v>
      </c>
      <c r="D113" s="23" t="n">
        <f aca="false">MONTH(B113)</f>
        <v>5</v>
      </c>
      <c r="E113" s="21" t="s">
        <v>43</v>
      </c>
      <c r="F113" s="21" t="s">
        <v>44</v>
      </c>
      <c r="G113" s="21" t="s">
        <v>45</v>
      </c>
      <c r="H113" s="24" t="n">
        <v>11</v>
      </c>
      <c r="I113" s="24" t="n">
        <v>4500</v>
      </c>
      <c r="J113" s="24" t="n">
        <v>2800</v>
      </c>
      <c r="K113" s="25" t="n">
        <f aca="false">H113*I113</f>
        <v>49500</v>
      </c>
      <c r="L113" s="25" t="n">
        <f aca="false">H113*(I113-J113)</f>
        <v>18700</v>
      </c>
    </row>
    <row r="114" customFormat="false" ht="15" hidden="false" customHeight="false" outlineLevel="0" collapsed="false">
      <c r="A114" s="21" t="s">
        <v>180</v>
      </c>
      <c r="B114" s="22" t="n">
        <v>45807</v>
      </c>
      <c r="C114" s="23" t="n">
        <f aca="false">YEAR(B114)</f>
        <v>2025</v>
      </c>
      <c r="D114" s="23" t="n">
        <f aca="false">MONTH(B114)</f>
        <v>5</v>
      </c>
      <c r="E114" s="21" t="s">
        <v>48</v>
      </c>
      <c r="F114" s="21" t="s">
        <v>57</v>
      </c>
      <c r="G114" s="21" t="s">
        <v>78</v>
      </c>
      <c r="H114" s="24" t="n">
        <v>48</v>
      </c>
      <c r="I114" s="24" t="n">
        <v>652</v>
      </c>
      <c r="J114" s="24" t="n">
        <v>320</v>
      </c>
      <c r="K114" s="25" t="n">
        <f aca="false">H114*I114</f>
        <v>31296</v>
      </c>
      <c r="L114" s="25" t="n">
        <f aca="false">H114*(I114-J114)</f>
        <v>15936</v>
      </c>
    </row>
    <row r="115" customFormat="false" ht="15" hidden="false" customHeight="false" outlineLevel="0" collapsed="false">
      <c r="A115" s="21" t="s">
        <v>181</v>
      </c>
      <c r="B115" s="22" t="n">
        <v>45810</v>
      </c>
      <c r="C115" s="23" t="n">
        <f aca="false">YEAR(B115)</f>
        <v>2025</v>
      </c>
      <c r="D115" s="23" t="n">
        <f aca="false">MONTH(B115)</f>
        <v>6</v>
      </c>
      <c r="E115" s="21" t="s">
        <v>76</v>
      </c>
      <c r="F115" s="21" t="s">
        <v>62</v>
      </c>
      <c r="G115" s="21" t="s">
        <v>72</v>
      </c>
      <c r="H115" s="24" t="n">
        <v>1</v>
      </c>
      <c r="I115" s="24" t="n">
        <v>7630</v>
      </c>
      <c r="J115" s="24" t="n">
        <v>4800</v>
      </c>
      <c r="K115" s="25" t="n">
        <f aca="false">H115*I115</f>
        <v>7630</v>
      </c>
      <c r="L115" s="25" t="n">
        <f aca="false">H115*(I115-J115)</f>
        <v>2830</v>
      </c>
    </row>
    <row r="116" customFormat="false" ht="15" hidden="false" customHeight="false" outlineLevel="0" collapsed="false">
      <c r="A116" s="21" t="s">
        <v>182</v>
      </c>
      <c r="B116" s="22" t="n">
        <v>45811</v>
      </c>
      <c r="C116" s="23" t="n">
        <f aca="false">YEAR(B116)</f>
        <v>2025</v>
      </c>
      <c r="D116" s="23" t="n">
        <f aca="false">MONTH(B116)</f>
        <v>6</v>
      </c>
      <c r="E116" s="21" t="s">
        <v>56</v>
      </c>
      <c r="F116" s="21" t="s">
        <v>44</v>
      </c>
      <c r="G116" s="21" t="s">
        <v>45</v>
      </c>
      <c r="H116" s="24" t="n">
        <v>10</v>
      </c>
      <c r="I116" s="24" t="n">
        <v>4540</v>
      </c>
      <c r="J116" s="24" t="n">
        <v>2800</v>
      </c>
      <c r="K116" s="25" t="n">
        <f aca="false">H116*I116</f>
        <v>45400</v>
      </c>
      <c r="L116" s="25" t="n">
        <f aca="false">H116*(I116-J116)</f>
        <v>17400</v>
      </c>
    </row>
    <row r="117" customFormat="false" ht="15" hidden="false" customHeight="false" outlineLevel="0" collapsed="false">
      <c r="A117" s="21" t="s">
        <v>183</v>
      </c>
      <c r="B117" s="22" t="n">
        <v>45812</v>
      </c>
      <c r="C117" s="23" t="n">
        <f aca="false">YEAR(B117)</f>
        <v>2025</v>
      </c>
      <c r="D117" s="23" t="n">
        <f aca="false">MONTH(B117)</f>
        <v>6</v>
      </c>
      <c r="E117" s="21" t="s">
        <v>48</v>
      </c>
      <c r="F117" s="21" t="s">
        <v>44</v>
      </c>
      <c r="G117" s="21" t="s">
        <v>45</v>
      </c>
      <c r="H117" s="24" t="n">
        <v>5</v>
      </c>
      <c r="I117" s="24" t="n">
        <v>4390</v>
      </c>
      <c r="J117" s="24" t="n">
        <v>2800</v>
      </c>
      <c r="K117" s="25" t="n">
        <f aca="false">H117*I117</f>
        <v>21950</v>
      </c>
      <c r="L117" s="25" t="n">
        <f aca="false">H117*(I117-J117)</f>
        <v>7950</v>
      </c>
    </row>
    <row r="118" customFormat="false" ht="15" hidden="false" customHeight="false" outlineLevel="0" collapsed="false">
      <c r="A118" s="21" t="s">
        <v>184</v>
      </c>
      <c r="B118" s="22" t="n">
        <v>45813</v>
      </c>
      <c r="C118" s="23" t="n">
        <f aca="false">YEAR(B118)</f>
        <v>2025</v>
      </c>
      <c r="D118" s="23" t="n">
        <f aca="false">MONTH(B118)</f>
        <v>6</v>
      </c>
      <c r="E118" s="21" t="s">
        <v>48</v>
      </c>
      <c r="F118" s="21" t="s">
        <v>65</v>
      </c>
      <c r="G118" s="21" t="s">
        <v>81</v>
      </c>
      <c r="H118" s="24" t="n">
        <v>4</v>
      </c>
      <c r="I118" s="24" t="n">
        <v>9160</v>
      </c>
      <c r="J118" s="24" t="n">
        <v>2500</v>
      </c>
      <c r="K118" s="25" t="n">
        <f aca="false">H118*I118</f>
        <v>36640</v>
      </c>
      <c r="L118" s="25" t="n">
        <f aca="false">H118*(I118-J118)</f>
        <v>26640</v>
      </c>
    </row>
    <row r="119" customFormat="false" ht="15" hidden="false" customHeight="false" outlineLevel="0" collapsed="false">
      <c r="A119" s="21" t="s">
        <v>185</v>
      </c>
      <c r="B119" s="22" t="n">
        <v>45814</v>
      </c>
      <c r="C119" s="23" t="n">
        <f aca="false">YEAR(B119)</f>
        <v>2025</v>
      </c>
      <c r="D119" s="23" t="n">
        <f aca="false">MONTH(B119)</f>
        <v>6</v>
      </c>
      <c r="E119" s="21" t="s">
        <v>48</v>
      </c>
      <c r="F119" s="21" t="s">
        <v>62</v>
      </c>
      <c r="G119" s="21" t="s">
        <v>92</v>
      </c>
      <c r="H119" s="24" t="n">
        <v>2</v>
      </c>
      <c r="I119" s="24" t="n">
        <v>14080</v>
      </c>
      <c r="J119" s="24" t="n">
        <v>9000</v>
      </c>
      <c r="K119" s="25" t="n">
        <f aca="false">H119*I119</f>
        <v>28160</v>
      </c>
      <c r="L119" s="25" t="n">
        <f aca="false">H119*(I119-J119)</f>
        <v>10160</v>
      </c>
    </row>
    <row r="120" customFormat="false" ht="15" hidden="false" customHeight="false" outlineLevel="0" collapsed="false">
      <c r="A120" s="21" t="s">
        <v>186</v>
      </c>
      <c r="B120" s="22" t="n">
        <v>45814</v>
      </c>
      <c r="C120" s="23" t="n">
        <f aca="false">YEAR(B120)</f>
        <v>2025</v>
      </c>
      <c r="D120" s="23" t="n">
        <f aca="false">MONTH(B120)</f>
        <v>6</v>
      </c>
      <c r="E120" s="21" t="s">
        <v>43</v>
      </c>
      <c r="F120" s="21" t="s">
        <v>62</v>
      </c>
      <c r="G120" s="21" t="s">
        <v>72</v>
      </c>
      <c r="H120" s="24" t="n">
        <v>1</v>
      </c>
      <c r="I120" s="24" t="n">
        <v>7050</v>
      </c>
      <c r="J120" s="24" t="n">
        <v>4800</v>
      </c>
      <c r="K120" s="25" t="n">
        <f aca="false">H120*I120</f>
        <v>7050</v>
      </c>
      <c r="L120" s="25" t="n">
        <f aca="false">H120*(I120-J120)</f>
        <v>2250</v>
      </c>
    </row>
    <row r="121" customFormat="false" ht="15" hidden="false" customHeight="false" outlineLevel="0" collapsed="false">
      <c r="A121" s="21" t="s">
        <v>187</v>
      </c>
      <c r="B121" s="22" t="n">
        <v>45817</v>
      </c>
      <c r="C121" s="23" t="n">
        <f aca="false">YEAR(B121)</f>
        <v>2025</v>
      </c>
      <c r="D121" s="23" t="n">
        <f aca="false">MONTH(B121)</f>
        <v>6</v>
      </c>
      <c r="E121" s="21" t="s">
        <v>56</v>
      </c>
      <c r="F121" s="21" t="s">
        <v>44</v>
      </c>
      <c r="G121" s="21" t="s">
        <v>45</v>
      </c>
      <c r="H121" s="24" t="n">
        <v>4</v>
      </c>
      <c r="I121" s="24" t="n">
        <v>4460</v>
      </c>
      <c r="J121" s="24" t="n">
        <v>2800</v>
      </c>
      <c r="K121" s="25" t="n">
        <f aca="false">H121*I121</f>
        <v>17840</v>
      </c>
      <c r="L121" s="25" t="n">
        <f aca="false">H121*(I121-J121)</f>
        <v>6640</v>
      </c>
    </row>
    <row r="122" customFormat="false" ht="15" hidden="false" customHeight="false" outlineLevel="0" collapsed="false">
      <c r="A122" s="21" t="s">
        <v>188</v>
      </c>
      <c r="B122" s="22" t="n">
        <v>45817</v>
      </c>
      <c r="C122" s="23" t="n">
        <f aca="false">YEAR(B122)</f>
        <v>2025</v>
      </c>
      <c r="D122" s="23" t="n">
        <f aca="false">MONTH(B122)</f>
        <v>6</v>
      </c>
      <c r="E122" s="21" t="s">
        <v>76</v>
      </c>
      <c r="F122" s="21" t="s">
        <v>57</v>
      </c>
      <c r="G122" s="21" t="s">
        <v>78</v>
      </c>
      <c r="H122" s="24" t="n">
        <v>31</v>
      </c>
      <c r="I122" s="24" t="n">
        <v>661</v>
      </c>
      <c r="J122" s="24" t="n">
        <v>320</v>
      </c>
      <c r="K122" s="25" t="n">
        <f aca="false">H122*I122</f>
        <v>20491</v>
      </c>
      <c r="L122" s="25" t="n">
        <f aca="false">H122*(I122-J122)</f>
        <v>10571</v>
      </c>
    </row>
    <row r="123" customFormat="false" ht="15" hidden="false" customHeight="false" outlineLevel="0" collapsed="false">
      <c r="A123" s="21" t="s">
        <v>189</v>
      </c>
      <c r="B123" s="22" t="n">
        <v>45818</v>
      </c>
      <c r="C123" s="23" t="n">
        <f aca="false">YEAR(B123)</f>
        <v>2025</v>
      </c>
      <c r="D123" s="23" t="n">
        <f aca="false">MONTH(B123)</f>
        <v>6</v>
      </c>
      <c r="E123" s="21" t="s">
        <v>56</v>
      </c>
      <c r="F123" s="21" t="s">
        <v>62</v>
      </c>
      <c r="G123" s="21" t="s">
        <v>63</v>
      </c>
      <c r="H123" s="24" t="n">
        <v>4</v>
      </c>
      <c r="I123" s="24" t="n">
        <v>28710</v>
      </c>
      <c r="J123" s="24" t="n">
        <v>19500</v>
      </c>
      <c r="K123" s="25" t="n">
        <f aca="false">H123*I123</f>
        <v>114840</v>
      </c>
      <c r="L123" s="25" t="n">
        <f aca="false">H123*(I123-J123)</f>
        <v>36840</v>
      </c>
    </row>
    <row r="124" customFormat="false" ht="15" hidden="false" customHeight="false" outlineLevel="0" collapsed="false">
      <c r="A124" s="21" t="s">
        <v>190</v>
      </c>
      <c r="B124" s="22" t="n">
        <v>45819</v>
      </c>
      <c r="C124" s="23" t="n">
        <f aca="false">YEAR(B124)</f>
        <v>2025</v>
      </c>
      <c r="D124" s="23" t="n">
        <f aca="false">MONTH(B124)</f>
        <v>6</v>
      </c>
      <c r="E124" s="21" t="s">
        <v>61</v>
      </c>
      <c r="F124" s="21" t="s">
        <v>57</v>
      </c>
      <c r="G124" s="21" t="s">
        <v>74</v>
      </c>
      <c r="H124" s="24" t="n">
        <v>49</v>
      </c>
      <c r="I124" s="24" t="n">
        <v>345</v>
      </c>
      <c r="J124" s="24" t="n">
        <v>170</v>
      </c>
      <c r="K124" s="25" t="n">
        <f aca="false">H124*I124</f>
        <v>16905</v>
      </c>
      <c r="L124" s="25" t="n">
        <f aca="false">H124*(I124-J124)</f>
        <v>8575</v>
      </c>
    </row>
    <row r="125" customFormat="false" ht="15" hidden="false" customHeight="false" outlineLevel="0" collapsed="false">
      <c r="A125" s="21" t="s">
        <v>191</v>
      </c>
      <c r="B125" s="22" t="n">
        <v>45821</v>
      </c>
      <c r="C125" s="23" t="n">
        <f aca="false">YEAR(B125)</f>
        <v>2025</v>
      </c>
      <c r="D125" s="23" t="n">
        <f aca="false">MONTH(B125)</f>
        <v>6</v>
      </c>
      <c r="E125" s="21" t="s">
        <v>43</v>
      </c>
      <c r="F125" s="21" t="s">
        <v>57</v>
      </c>
      <c r="G125" s="21" t="s">
        <v>78</v>
      </c>
      <c r="H125" s="24" t="n">
        <v>52</v>
      </c>
      <c r="I125" s="24" t="n">
        <v>649</v>
      </c>
      <c r="J125" s="24" t="n">
        <v>320</v>
      </c>
      <c r="K125" s="25" t="n">
        <f aca="false">H125*I125</f>
        <v>33748</v>
      </c>
      <c r="L125" s="25" t="n">
        <f aca="false">H125*(I125-J125)</f>
        <v>17108</v>
      </c>
    </row>
    <row r="126" customFormat="false" ht="15" hidden="false" customHeight="false" outlineLevel="0" collapsed="false">
      <c r="A126" s="21" t="s">
        <v>192</v>
      </c>
      <c r="B126" s="22" t="n">
        <v>45821</v>
      </c>
      <c r="C126" s="23" t="n">
        <f aca="false">YEAR(B126)</f>
        <v>2025</v>
      </c>
      <c r="D126" s="23" t="n">
        <f aca="false">MONTH(B126)</f>
        <v>6</v>
      </c>
      <c r="E126" s="21" t="s">
        <v>48</v>
      </c>
      <c r="F126" s="21" t="s">
        <v>65</v>
      </c>
      <c r="G126" s="21" t="s">
        <v>81</v>
      </c>
      <c r="H126" s="24" t="n">
        <v>18</v>
      </c>
      <c r="I126" s="24" t="n">
        <v>9220</v>
      </c>
      <c r="J126" s="24" t="n">
        <v>2500</v>
      </c>
      <c r="K126" s="25" t="n">
        <f aca="false">H126*I126</f>
        <v>165960</v>
      </c>
      <c r="L126" s="25" t="n">
        <f aca="false">H126*(I126-J126)</f>
        <v>120960</v>
      </c>
    </row>
    <row r="127" customFormat="false" ht="15" hidden="false" customHeight="false" outlineLevel="0" collapsed="false">
      <c r="A127" s="21" t="s">
        <v>193</v>
      </c>
      <c r="B127" s="22" t="n">
        <v>45823</v>
      </c>
      <c r="C127" s="23" t="n">
        <f aca="false">YEAR(B127)</f>
        <v>2025</v>
      </c>
      <c r="D127" s="23" t="n">
        <f aca="false">MONTH(B127)</f>
        <v>6</v>
      </c>
      <c r="E127" s="21" t="s">
        <v>76</v>
      </c>
      <c r="F127" s="21" t="s">
        <v>57</v>
      </c>
      <c r="G127" s="21" t="s">
        <v>74</v>
      </c>
      <c r="H127" s="24" t="n">
        <v>64</v>
      </c>
      <c r="I127" s="24" t="n">
        <v>362</v>
      </c>
      <c r="J127" s="24" t="n">
        <v>170</v>
      </c>
      <c r="K127" s="25" t="n">
        <f aca="false">H127*I127</f>
        <v>23168</v>
      </c>
      <c r="L127" s="25" t="n">
        <f aca="false">H127*(I127-J127)</f>
        <v>12288</v>
      </c>
    </row>
    <row r="128" customFormat="false" ht="15" hidden="false" customHeight="false" outlineLevel="0" collapsed="false">
      <c r="A128" s="21" t="s">
        <v>194</v>
      </c>
      <c r="B128" s="22" t="n">
        <v>45826</v>
      </c>
      <c r="C128" s="23" t="n">
        <f aca="false">YEAR(B128)</f>
        <v>2025</v>
      </c>
      <c r="D128" s="23" t="n">
        <f aca="false">MONTH(B128)</f>
        <v>6</v>
      </c>
      <c r="E128" s="21" t="s">
        <v>56</v>
      </c>
      <c r="F128" s="21" t="s">
        <v>65</v>
      </c>
      <c r="G128" s="21" t="s">
        <v>66</v>
      </c>
      <c r="H128" s="24" t="n">
        <v>21</v>
      </c>
      <c r="I128" s="24" t="n">
        <v>4820</v>
      </c>
      <c r="J128" s="24" t="n">
        <v>1900</v>
      </c>
      <c r="K128" s="25" t="n">
        <f aca="false">H128*I128</f>
        <v>101220</v>
      </c>
      <c r="L128" s="25" t="n">
        <f aca="false">H128*(I128-J128)</f>
        <v>61320</v>
      </c>
    </row>
    <row r="129" customFormat="false" ht="15" hidden="false" customHeight="false" outlineLevel="0" collapsed="false">
      <c r="A129" s="21" t="s">
        <v>195</v>
      </c>
      <c r="B129" s="22" t="n">
        <v>45826</v>
      </c>
      <c r="C129" s="23" t="n">
        <f aca="false">YEAR(B129)</f>
        <v>2025</v>
      </c>
      <c r="D129" s="23" t="n">
        <f aca="false">MONTH(B129)</f>
        <v>6</v>
      </c>
      <c r="E129" s="21" t="s">
        <v>76</v>
      </c>
      <c r="F129" s="21" t="s">
        <v>57</v>
      </c>
      <c r="G129" s="21" t="s">
        <v>78</v>
      </c>
      <c r="H129" s="24" t="n">
        <v>52</v>
      </c>
      <c r="I129" s="24" t="n">
        <v>671</v>
      </c>
      <c r="J129" s="24" t="n">
        <v>320</v>
      </c>
      <c r="K129" s="25" t="n">
        <f aca="false">H129*I129</f>
        <v>34892</v>
      </c>
      <c r="L129" s="25" t="n">
        <f aca="false">H129*(I129-J129)</f>
        <v>18252</v>
      </c>
    </row>
    <row r="130" customFormat="false" ht="15" hidden="false" customHeight="false" outlineLevel="0" collapsed="false">
      <c r="A130" s="21" t="s">
        <v>196</v>
      </c>
      <c r="B130" s="22" t="n">
        <v>45827</v>
      </c>
      <c r="C130" s="23" t="n">
        <f aca="false">YEAR(B130)</f>
        <v>2025</v>
      </c>
      <c r="D130" s="23" t="n">
        <f aca="false">MONTH(B130)</f>
        <v>6</v>
      </c>
      <c r="E130" s="21" t="s">
        <v>43</v>
      </c>
      <c r="F130" s="21" t="s">
        <v>44</v>
      </c>
      <c r="G130" s="21" t="s">
        <v>69</v>
      </c>
      <c r="H130" s="24" t="n">
        <v>3</v>
      </c>
      <c r="I130" s="24" t="n">
        <v>21660</v>
      </c>
      <c r="J130" s="24" t="n">
        <v>15500</v>
      </c>
      <c r="K130" s="25" t="n">
        <f aca="false">H130*I130</f>
        <v>64980</v>
      </c>
      <c r="L130" s="25" t="n">
        <f aca="false">H130*(I130-J130)</f>
        <v>18480</v>
      </c>
    </row>
    <row r="131" customFormat="false" ht="15" hidden="false" customHeight="false" outlineLevel="0" collapsed="false">
      <c r="A131" s="21" t="s">
        <v>197</v>
      </c>
      <c r="B131" s="22" t="n">
        <v>45827</v>
      </c>
      <c r="C131" s="23" t="n">
        <f aca="false">YEAR(B131)</f>
        <v>2025</v>
      </c>
      <c r="D131" s="23" t="n">
        <f aca="false">MONTH(B131)</f>
        <v>6</v>
      </c>
      <c r="E131" s="21" t="s">
        <v>43</v>
      </c>
      <c r="F131" s="21" t="s">
        <v>62</v>
      </c>
      <c r="G131" s="21" t="s">
        <v>92</v>
      </c>
      <c r="H131" s="24" t="n">
        <v>2</v>
      </c>
      <c r="I131" s="24" t="n">
        <v>13890</v>
      </c>
      <c r="J131" s="24" t="n">
        <v>9000</v>
      </c>
      <c r="K131" s="25" t="n">
        <f aca="false">H131*I131</f>
        <v>27780</v>
      </c>
      <c r="L131" s="25" t="n">
        <f aca="false">H131*(I131-J131)</f>
        <v>9780</v>
      </c>
    </row>
    <row r="132" customFormat="false" ht="15" hidden="false" customHeight="false" outlineLevel="0" collapsed="false">
      <c r="A132" s="21" t="s">
        <v>198</v>
      </c>
      <c r="B132" s="22" t="n">
        <v>45827</v>
      </c>
      <c r="C132" s="23" t="n">
        <f aca="false">YEAR(B132)</f>
        <v>2025</v>
      </c>
      <c r="D132" s="23" t="n">
        <f aca="false">MONTH(B132)</f>
        <v>6</v>
      </c>
      <c r="E132" s="21" t="s">
        <v>43</v>
      </c>
      <c r="F132" s="21" t="s">
        <v>62</v>
      </c>
      <c r="G132" s="21" t="s">
        <v>63</v>
      </c>
      <c r="H132" s="24" t="n">
        <v>1</v>
      </c>
      <c r="I132" s="24" t="n">
        <v>26320</v>
      </c>
      <c r="J132" s="24" t="n">
        <v>19500</v>
      </c>
      <c r="K132" s="25" t="n">
        <f aca="false">H132*I132</f>
        <v>26320</v>
      </c>
      <c r="L132" s="25" t="n">
        <f aca="false">H132*(I132-J132)</f>
        <v>6820</v>
      </c>
    </row>
    <row r="133" customFormat="false" ht="15" hidden="false" customHeight="false" outlineLevel="0" collapsed="false">
      <c r="A133" s="21" t="s">
        <v>199</v>
      </c>
      <c r="B133" s="22" t="n">
        <v>45828</v>
      </c>
      <c r="C133" s="23" t="n">
        <f aca="false">YEAR(B133)</f>
        <v>2025</v>
      </c>
      <c r="D133" s="23" t="n">
        <f aca="false">MONTH(B133)</f>
        <v>6</v>
      </c>
      <c r="E133" s="21" t="s">
        <v>48</v>
      </c>
      <c r="F133" s="21" t="s">
        <v>57</v>
      </c>
      <c r="G133" s="21" t="s">
        <v>78</v>
      </c>
      <c r="H133" s="24" t="n">
        <v>39</v>
      </c>
      <c r="I133" s="24" t="n">
        <v>640</v>
      </c>
      <c r="J133" s="24" t="n">
        <v>320</v>
      </c>
      <c r="K133" s="25" t="n">
        <f aca="false">H133*I133</f>
        <v>24960</v>
      </c>
      <c r="L133" s="25" t="n">
        <f aca="false">H133*(I133-J133)</f>
        <v>12480</v>
      </c>
    </row>
    <row r="134" customFormat="false" ht="15" hidden="false" customHeight="false" outlineLevel="0" collapsed="false">
      <c r="A134" s="21" t="s">
        <v>200</v>
      </c>
      <c r="B134" s="22" t="n">
        <v>45828</v>
      </c>
      <c r="C134" s="23" t="n">
        <f aca="false">YEAR(B134)</f>
        <v>2025</v>
      </c>
      <c r="D134" s="23" t="n">
        <f aca="false">MONTH(B134)</f>
        <v>6</v>
      </c>
      <c r="E134" s="21" t="s">
        <v>56</v>
      </c>
      <c r="F134" s="21" t="s">
        <v>62</v>
      </c>
      <c r="G134" s="21" t="s">
        <v>92</v>
      </c>
      <c r="H134" s="24" t="n">
        <v>5</v>
      </c>
      <c r="I134" s="24" t="n">
        <v>13940</v>
      </c>
      <c r="J134" s="24" t="n">
        <v>9000</v>
      </c>
      <c r="K134" s="25" t="n">
        <f aca="false">H134*I134</f>
        <v>69700</v>
      </c>
      <c r="L134" s="25" t="n">
        <f aca="false">H134*(I134-J134)</f>
        <v>24700</v>
      </c>
    </row>
    <row r="135" customFormat="false" ht="15" hidden="false" customHeight="false" outlineLevel="0" collapsed="false">
      <c r="A135" s="21" t="s">
        <v>201</v>
      </c>
      <c r="B135" s="22" t="n">
        <v>45829</v>
      </c>
      <c r="C135" s="23" t="n">
        <f aca="false">YEAR(B135)</f>
        <v>2025</v>
      </c>
      <c r="D135" s="23" t="n">
        <f aca="false">MONTH(B135)</f>
        <v>6</v>
      </c>
      <c r="E135" s="21" t="s">
        <v>43</v>
      </c>
      <c r="F135" s="21" t="s">
        <v>65</v>
      </c>
      <c r="G135" s="21" t="s">
        <v>89</v>
      </c>
      <c r="H135" s="24" t="n">
        <v>26</v>
      </c>
      <c r="I135" s="24" t="n">
        <v>1800</v>
      </c>
      <c r="J135" s="24" t="n">
        <v>500</v>
      </c>
      <c r="K135" s="25" t="n">
        <f aca="false">H135*I135</f>
        <v>46800</v>
      </c>
      <c r="L135" s="25" t="n">
        <f aca="false">H135*(I135-J135)</f>
        <v>33800</v>
      </c>
    </row>
    <row r="136" customFormat="false" ht="15" hidden="false" customHeight="false" outlineLevel="0" collapsed="false">
      <c r="A136" s="21" t="s">
        <v>202</v>
      </c>
      <c r="B136" s="22" t="n">
        <v>45829</v>
      </c>
      <c r="C136" s="23" t="n">
        <f aca="false">YEAR(B136)</f>
        <v>2025</v>
      </c>
      <c r="D136" s="23" t="n">
        <f aca="false">MONTH(B136)</f>
        <v>6</v>
      </c>
      <c r="E136" s="21" t="s">
        <v>48</v>
      </c>
      <c r="F136" s="21" t="s">
        <v>57</v>
      </c>
      <c r="G136" s="21" t="s">
        <v>58</v>
      </c>
      <c r="H136" s="24" t="n">
        <v>26</v>
      </c>
      <c r="I136" s="24" t="n">
        <v>1760</v>
      </c>
      <c r="J136" s="24" t="n">
        <v>1250</v>
      </c>
      <c r="K136" s="25" t="n">
        <f aca="false">H136*I136</f>
        <v>45760</v>
      </c>
      <c r="L136" s="25" t="n">
        <f aca="false">H136*(I136-J136)</f>
        <v>13260</v>
      </c>
    </row>
    <row r="137" customFormat="false" ht="15" hidden="false" customHeight="false" outlineLevel="0" collapsed="false">
      <c r="A137" s="21" t="s">
        <v>203</v>
      </c>
      <c r="B137" s="22" t="n">
        <v>45829</v>
      </c>
      <c r="C137" s="23" t="n">
        <f aca="false">YEAR(B137)</f>
        <v>2025</v>
      </c>
      <c r="D137" s="23" t="n">
        <f aca="false">MONTH(B137)</f>
        <v>6</v>
      </c>
      <c r="E137" s="21" t="s">
        <v>48</v>
      </c>
      <c r="F137" s="21" t="s">
        <v>57</v>
      </c>
      <c r="G137" s="21" t="s">
        <v>58</v>
      </c>
      <c r="H137" s="24" t="n">
        <v>11</v>
      </c>
      <c r="I137" s="24" t="n">
        <v>1820</v>
      </c>
      <c r="J137" s="24" t="n">
        <v>1250</v>
      </c>
      <c r="K137" s="25" t="n">
        <f aca="false">H137*I137</f>
        <v>20020</v>
      </c>
      <c r="L137" s="25" t="n">
        <f aca="false">H137*(I137-J137)</f>
        <v>6270</v>
      </c>
    </row>
    <row r="138" customFormat="false" ht="15" hidden="false" customHeight="false" outlineLevel="0" collapsed="false">
      <c r="A138" s="21" t="s">
        <v>204</v>
      </c>
      <c r="B138" s="22" t="n">
        <v>45831</v>
      </c>
      <c r="C138" s="23" t="n">
        <f aca="false">YEAR(B138)</f>
        <v>2025</v>
      </c>
      <c r="D138" s="23" t="n">
        <f aca="false">MONTH(B138)</f>
        <v>6</v>
      </c>
      <c r="E138" s="21" t="s">
        <v>48</v>
      </c>
      <c r="F138" s="21" t="s">
        <v>44</v>
      </c>
      <c r="G138" s="21" t="s">
        <v>45</v>
      </c>
      <c r="H138" s="24" t="n">
        <v>6</v>
      </c>
      <c r="I138" s="24" t="n">
        <v>4520</v>
      </c>
      <c r="J138" s="24" t="n">
        <v>2800</v>
      </c>
      <c r="K138" s="25" t="n">
        <f aca="false">H138*I138</f>
        <v>27120</v>
      </c>
      <c r="L138" s="25" t="n">
        <f aca="false">H138*(I138-J138)</f>
        <v>10320</v>
      </c>
    </row>
    <row r="139" customFormat="false" ht="15" hidden="false" customHeight="false" outlineLevel="0" collapsed="false">
      <c r="A139" s="21" t="s">
        <v>205</v>
      </c>
      <c r="B139" s="22" t="n">
        <v>45832</v>
      </c>
      <c r="C139" s="23" t="n">
        <f aca="false">YEAR(B139)</f>
        <v>2025</v>
      </c>
      <c r="D139" s="23" t="n">
        <f aca="false">MONTH(B139)</f>
        <v>6</v>
      </c>
      <c r="E139" s="21" t="s">
        <v>76</v>
      </c>
      <c r="F139" s="21" t="s">
        <v>57</v>
      </c>
      <c r="G139" s="21" t="s">
        <v>78</v>
      </c>
      <c r="H139" s="24" t="n">
        <v>29</v>
      </c>
      <c r="I139" s="24" t="n">
        <v>620</v>
      </c>
      <c r="J139" s="24" t="n">
        <v>320</v>
      </c>
      <c r="K139" s="25" t="n">
        <f aca="false">H139*I139</f>
        <v>17980</v>
      </c>
      <c r="L139" s="25" t="n">
        <f aca="false">H139*(I139-J139)</f>
        <v>8700</v>
      </c>
    </row>
    <row r="140" customFormat="false" ht="15" hidden="false" customHeight="false" outlineLevel="0" collapsed="false">
      <c r="A140" s="21" t="s">
        <v>206</v>
      </c>
      <c r="B140" s="22" t="n">
        <v>45833</v>
      </c>
      <c r="C140" s="23" t="n">
        <f aca="false">YEAR(B140)</f>
        <v>2025</v>
      </c>
      <c r="D140" s="23" t="n">
        <f aca="false">MONTH(B140)</f>
        <v>6</v>
      </c>
      <c r="E140" s="21" t="s">
        <v>76</v>
      </c>
      <c r="F140" s="21" t="s">
        <v>62</v>
      </c>
      <c r="G140" s="21" t="s">
        <v>63</v>
      </c>
      <c r="H140" s="24" t="n">
        <v>1</v>
      </c>
      <c r="I140" s="24" t="n">
        <v>26670</v>
      </c>
      <c r="J140" s="24" t="n">
        <v>19500</v>
      </c>
      <c r="K140" s="25" t="n">
        <f aca="false">H140*I140</f>
        <v>26670</v>
      </c>
      <c r="L140" s="25" t="n">
        <f aca="false">H140*(I140-J140)</f>
        <v>7170</v>
      </c>
    </row>
    <row r="141" customFormat="false" ht="15" hidden="false" customHeight="false" outlineLevel="0" collapsed="false">
      <c r="A141" s="21" t="s">
        <v>207</v>
      </c>
      <c r="B141" s="22" t="n">
        <v>45833</v>
      </c>
      <c r="C141" s="23" t="n">
        <f aca="false">YEAR(B141)</f>
        <v>2025</v>
      </c>
      <c r="D141" s="23" t="n">
        <f aca="false">MONTH(B141)</f>
        <v>6</v>
      </c>
      <c r="E141" s="21" t="s">
        <v>56</v>
      </c>
      <c r="F141" s="21" t="s">
        <v>65</v>
      </c>
      <c r="G141" s="21" t="s">
        <v>66</v>
      </c>
      <c r="H141" s="24" t="n">
        <v>10</v>
      </c>
      <c r="I141" s="24" t="n">
        <v>4620</v>
      </c>
      <c r="J141" s="24" t="n">
        <v>1900</v>
      </c>
      <c r="K141" s="25" t="n">
        <f aca="false">H141*I141</f>
        <v>46200</v>
      </c>
      <c r="L141" s="25" t="n">
        <f aca="false">H141*(I141-J141)</f>
        <v>27200</v>
      </c>
    </row>
    <row r="142" customFormat="false" ht="15" hidden="false" customHeight="false" outlineLevel="0" collapsed="false">
      <c r="A142" s="21" t="s">
        <v>208</v>
      </c>
      <c r="B142" s="22" t="n">
        <v>45833</v>
      </c>
      <c r="C142" s="23" t="n">
        <f aca="false">YEAR(B142)</f>
        <v>2025</v>
      </c>
      <c r="D142" s="23" t="n">
        <f aca="false">MONTH(B142)</f>
        <v>6</v>
      </c>
      <c r="E142" s="21" t="s">
        <v>48</v>
      </c>
      <c r="F142" s="21" t="s">
        <v>44</v>
      </c>
      <c r="G142" s="21" t="s">
        <v>45</v>
      </c>
      <c r="H142" s="24" t="n">
        <v>8</v>
      </c>
      <c r="I142" s="24" t="n">
        <v>4270</v>
      </c>
      <c r="J142" s="24" t="n">
        <v>2800</v>
      </c>
      <c r="K142" s="25" t="n">
        <f aca="false">H142*I142</f>
        <v>34160</v>
      </c>
      <c r="L142" s="25" t="n">
        <f aca="false">H142*(I142-J142)</f>
        <v>11760</v>
      </c>
    </row>
    <row r="143" customFormat="false" ht="15" hidden="false" customHeight="false" outlineLevel="0" collapsed="false">
      <c r="A143" s="21" t="s">
        <v>209</v>
      </c>
      <c r="B143" s="22" t="n">
        <v>45834</v>
      </c>
      <c r="C143" s="23" t="n">
        <f aca="false">YEAR(B143)</f>
        <v>2025</v>
      </c>
      <c r="D143" s="23" t="n">
        <f aca="false">MONTH(B143)</f>
        <v>6</v>
      </c>
      <c r="E143" s="21" t="s">
        <v>56</v>
      </c>
      <c r="F143" s="21" t="s">
        <v>62</v>
      </c>
      <c r="G143" s="21" t="s">
        <v>63</v>
      </c>
      <c r="H143" s="24" t="n">
        <v>3</v>
      </c>
      <c r="I143" s="24" t="n">
        <v>26260</v>
      </c>
      <c r="J143" s="24" t="n">
        <v>19500</v>
      </c>
      <c r="K143" s="25" t="n">
        <f aca="false">H143*I143</f>
        <v>78780</v>
      </c>
      <c r="L143" s="25" t="n">
        <f aca="false">H143*(I143-J143)</f>
        <v>20280</v>
      </c>
    </row>
    <row r="144" customFormat="false" ht="15" hidden="false" customHeight="false" outlineLevel="0" collapsed="false">
      <c r="A144" s="21" t="s">
        <v>210</v>
      </c>
      <c r="B144" s="22" t="n">
        <v>45834</v>
      </c>
      <c r="C144" s="23" t="n">
        <f aca="false">YEAR(B144)</f>
        <v>2025</v>
      </c>
      <c r="D144" s="23" t="n">
        <f aca="false">MONTH(B144)</f>
        <v>6</v>
      </c>
      <c r="E144" s="21" t="s">
        <v>43</v>
      </c>
      <c r="F144" s="21" t="s">
        <v>65</v>
      </c>
      <c r="G144" s="21" t="s">
        <v>89</v>
      </c>
      <c r="H144" s="24" t="n">
        <v>2</v>
      </c>
      <c r="I144" s="24" t="n">
        <v>1770</v>
      </c>
      <c r="J144" s="24" t="n">
        <v>500</v>
      </c>
      <c r="K144" s="25" t="n">
        <f aca="false">H144*I144</f>
        <v>3540</v>
      </c>
      <c r="L144" s="25" t="n">
        <f aca="false">H144*(I144-J144)</f>
        <v>2540</v>
      </c>
    </row>
    <row r="145" customFormat="false" ht="15" hidden="false" customHeight="false" outlineLevel="0" collapsed="false">
      <c r="A145" s="21" t="s">
        <v>211</v>
      </c>
      <c r="B145" s="22" t="n">
        <v>45834</v>
      </c>
      <c r="C145" s="23" t="n">
        <f aca="false">YEAR(B145)</f>
        <v>2025</v>
      </c>
      <c r="D145" s="23" t="n">
        <f aca="false">MONTH(B145)</f>
        <v>6</v>
      </c>
      <c r="E145" s="21" t="s">
        <v>48</v>
      </c>
      <c r="F145" s="21" t="s">
        <v>44</v>
      </c>
      <c r="G145" s="21" t="s">
        <v>49</v>
      </c>
      <c r="H145" s="24" t="n">
        <v>2</v>
      </c>
      <c r="I145" s="24" t="n">
        <v>61570</v>
      </c>
      <c r="J145" s="24" t="n">
        <v>48000</v>
      </c>
      <c r="K145" s="25" t="n">
        <f aca="false">H145*I145</f>
        <v>123140</v>
      </c>
      <c r="L145" s="25" t="n">
        <f aca="false">H145*(I145-J145)</f>
        <v>27140</v>
      </c>
    </row>
    <row r="146" customFormat="false" ht="15" hidden="false" customHeight="false" outlineLevel="0" collapsed="false">
      <c r="A146" s="21" t="s">
        <v>212</v>
      </c>
      <c r="B146" s="22" t="n">
        <v>45835</v>
      </c>
      <c r="C146" s="23" t="n">
        <f aca="false">YEAR(B146)</f>
        <v>2025</v>
      </c>
      <c r="D146" s="23" t="n">
        <f aca="false">MONTH(B146)</f>
        <v>6</v>
      </c>
      <c r="E146" s="21" t="s">
        <v>48</v>
      </c>
      <c r="F146" s="21" t="s">
        <v>57</v>
      </c>
      <c r="G146" s="21" t="s">
        <v>74</v>
      </c>
      <c r="H146" s="24" t="n">
        <v>24</v>
      </c>
      <c r="I146" s="24" t="n">
        <v>347</v>
      </c>
      <c r="J146" s="24" t="n">
        <v>170</v>
      </c>
      <c r="K146" s="25" t="n">
        <f aca="false">H146*I146</f>
        <v>8328</v>
      </c>
      <c r="L146" s="25" t="n">
        <f aca="false">H146*(I146-J146)</f>
        <v>4248</v>
      </c>
    </row>
    <row r="147" customFormat="false" ht="15" hidden="false" customHeight="false" outlineLevel="0" collapsed="false">
      <c r="A147" s="21" t="s">
        <v>213</v>
      </c>
      <c r="B147" s="22" t="n">
        <v>45836</v>
      </c>
      <c r="C147" s="23" t="n">
        <f aca="false">YEAR(B147)</f>
        <v>2025</v>
      </c>
      <c r="D147" s="23" t="n">
        <f aca="false">MONTH(B147)</f>
        <v>6</v>
      </c>
      <c r="E147" s="21" t="s">
        <v>43</v>
      </c>
      <c r="F147" s="21" t="s">
        <v>65</v>
      </c>
      <c r="G147" s="21" t="s">
        <v>66</v>
      </c>
      <c r="H147" s="24" t="n">
        <v>21</v>
      </c>
      <c r="I147" s="24" t="n">
        <v>4710</v>
      </c>
      <c r="J147" s="24" t="n">
        <v>1900</v>
      </c>
      <c r="K147" s="25" t="n">
        <f aca="false">H147*I147</f>
        <v>98910</v>
      </c>
      <c r="L147" s="25" t="n">
        <f aca="false">H147*(I147-J147)</f>
        <v>59010</v>
      </c>
    </row>
    <row r="148" customFormat="false" ht="15" hidden="false" customHeight="false" outlineLevel="0" collapsed="false">
      <c r="A148" s="21" t="s">
        <v>214</v>
      </c>
      <c r="B148" s="22" t="n">
        <v>45836</v>
      </c>
      <c r="C148" s="23" t="n">
        <f aca="false">YEAR(B148)</f>
        <v>2025</v>
      </c>
      <c r="D148" s="23" t="n">
        <f aca="false">MONTH(B148)</f>
        <v>6</v>
      </c>
      <c r="E148" s="21" t="s">
        <v>48</v>
      </c>
      <c r="F148" s="21" t="s">
        <v>57</v>
      </c>
      <c r="G148" s="21" t="s">
        <v>58</v>
      </c>
      <c r="H148" s="24" t="n">
        <v>18</v>
      </c>
      <c r="I148" s="24" t="n">
        <v>1840</v>
      </c>
      <c r="J148" s="24" t="n">
        <v>1250</v>
      </c>
      <c r="K148" s="25" t="n">
        <f aca="false">H148*I148</f>
        <v>33120</v>
      </c>
      <c r="L148" s="25" t="n">
        <f aca="false">H148*(I148-J148)</f>
        <v>10620</v>
      </c>
    </row>
    <row r="149" customFormat="false" ht="15" hidden="false" customHeight="false" outlineLevel="0" collapsed="false">
      <c r="A149" s="21" t="s">
        <v>215</v>
      </c>
      <c r="B149" s="22" t="n">
        <v>45837</v>
      </c>
      <c r="C149" s="23" t="n">
        <f aca="false">YEAR(B149)</f>
        <v>2025</v>
      </c>
      <c r="D149" s="23" t="n">
        <f aca="false">MONTH(B149)</f>
        <v>6</v>
      </c>
      <c r="E149" s="21" t="s">
        <v>76</v>
      </c>
      <c r="F149" s="21" t="s">
        <v>44</v>
      </c>
      <c r="G149" s="21" t="s">
        <v>69</v>
      </c>
      <c r="H149" s="24" t="n">
        <v>5</v>
      </c>
      <c r="I149" s="24" t="n">
        <v>19710</v>
      </c>
      <c r="J149" s="24" t="n">
        <v>15500</v>
      </c>
      <c r="K149" s="25" t="n">
        <f aca="false">H149*I149</f>
        <v>98550</v>
      </c>
      <c r="L149" s="25" t="n">
        <f aca="false">H149*(I149-J149)</f>
        <v>21050</v>
      </c>
    </row>
    <row r="150" customFormat="false" ht="15" hidden="false" customHeight="false" outlineLevel="0" collapsed="false">
      <c r="A150" s="21" t="s">
        <v>216</v>
      </c>
      <c r="B150" s="22" t="n">
        <v>45837</v>
      </c>
      <c r="C150" s="23" t="n">
        <f aca="false">YEAR(B150)</f>
        <v>2025</v>
      </c>
      <c r="D150" s="23" t="n">
        <f aca="false">MONTH(B150)</f>
        <v>6</v>
      </c>
      <c r="E150" s="21" t="s">
        <v>56</v>
      </c>
      <c r="F150" s="21" t="s">
        <v>65</v>
      </c>
      <c r="G150" s="21" t="s">
        <v>89</v>
      </c>
      <c r="H150" s="24" t="n">
        <v>9</v>
      </c>
      <c r="I150" s="24" t="n">
        <v>1740</v>
      </c>
      <c r="J150" s="24" t="n">
        <v>500</v>
      </c>
      <c r="K150" s="25" t="n">
        <f aca="false">H150*I150</f>
        <v>15660</v>
      </c>
      <c r="L150" s="25" t="n">
        <f aca="false">H150*(I150-J150)</f>
        <v>11160</v>
      </c>
    </row>
    <row r="151" customFormat="false" ht="15" hidden="false" customHeight="false" outlineLevel="0" collapsed="false">
      <c r="A151" s="21" t="s">
        <v>217</v>
      </c>
      <c r="B151" s="22" t="n">
        <v>45839</v>
      </c>
      <c r="C151" s="23" t="n">
        <f aca="false">YEAR(B151)</f>
        <v>2025</v>
      </c>
      <c r="D151" s="23" t="n">
        <f aca="false">MONTH(B151)</f>
        <v>7</v>
      </c>
      <c r="E151" s="21" t="s">
        <v>76</v>
      </c>
      <c r="F151" s="21" t="s">
        <v>44</v>
      </c>
      <c r="G151" s="21" t="s">
        <v>45</v>
      </c>
      <c r="H151" s="24" t="n">
        <v>3</v>
      </c>
      <c r="I151" s="24" t="n">
        <v>4450</v>
      </c>
      <c r="J151" s="24" t="n">
        <v>2800</v>
      </c>
      <c r="K151" s="25" t="n">
        <f aca="false">H151*I151</f>
        <v>13350</v>
      </c>
      <c r="L151" s="25" t="n">
        <f aca="false">H151*(I151-J151)</f>
        <v>4950</v>
      </c>
    </row>
    <row r="152" customFormat="false" ht="15" hidden="false" customHeight="false" outlineLevel="0" collapsed="false">
      <c r="A152" s="21" t="s">
        <v>218</v>
      </c>
      <c r="B152" s="22" t="n">
        <v>45840</v>
      </c>
      <c r="C152" s="23" t="n">
        <f aca="false">YEAR(B152)</f>
        <v>2025</v>
      </c>
      <c r="D152" s="23" t="n">
        <f aca="false">MONTH(B152)</f>
        <v>7</v>
      </c>
      <c r="E152" s="21" t="s">
        <v>56</v>
      </c>
      <c r="F152" s="21" t="s">
        <v>44</v>
      </c>
      <c r="G152" s="21" t="s">
        <v>45</v>
      </c>
      <c r="H152" s="24" t="n">
        <v>7</v>
      </c>
      <c r="I152" s="24" t="n">
        <v>4550</v>
      </c>
      <c r="J152" s="24" t="n">
        <v>2800</v>
      </c>
      <c r="K152" s="25" t="n">
        <f aca="false">H152*I152</f>
        <v>31850</v>
      </c>
      <c r="L152" s="25" t="n">
        <f aca="false">H152*(I152-J152)</f>
        <v>12250</v>
      </c>
    </row>
    <row r="153" customFormat="false" ht="15" hidden="false" customHeight="false" outlineLevel="0" collapsed="false">
      <c r="A153" s="21" t="s">
        <v>219</v>
      </c>
      <c r="B153" s="22" t="n">
        <v>45840</v>
      </c>
      <c r="C153" s="23" t="n">
        <f aca="false">YEAR(B153)</f>
        <v>2025</v>
      </c>
      <c r="D153" s="23" t="n">
        <f aca="false">MONTH(B153)</f>
        <v>7</v>
      </c>
      <c r="E153" s="21" t="s">
        <v>56</v>
      </c>
      <c r="F153" s="21" t="s">
        <v>65</v>
      </c>
      <c r="G153" s="21" t="s">
        <v>81</v>
      </c>
      <c r="H153" s="24" t="n">
        <v>8</v>
      </c>
      <c r="I153" s="24" t="n">
        <v>8940</v>
      </c>
      <c r="J153" s="24" t="n">
        <v>2500</v>
      </c>
      <c r="K153" s="25" t="n">
        <f aca="false">H153*I153</f>
        <v>71520</v>
      </c>
      <c r="L153" s="25" t="n">
        <f aca="false">H153*(I153-J153)</f>
        <v>51520</v>
      </c>
    </row>
    <row r="154" customFormat="false" ht="15" hidden="false" customHeight="false" outlineLevel="0" collapsed="false">
      <c r="A154" s="21" t="s">
        <v>220</v>
      </c>
      <c r="B154" s="22" t="n">
        <v>45841</v>
      </c>
      <c r="C154" s="23" t="n">
        <f aca="false">YEAR(B154)</f>
        <v>2025</v>
      </c>
      <c r="D154" s="23" t="n">
        <f aca="false">MONTH(B154)</f>
        <v>7</v>
      </c>
      <c r="E154" s="21" t="s">
        <v>43</v>
      </c>
      <c r="F154" s="21" t="s">
        <v>44</v>
      </c>
      <c r="G154" s="21" t="s">
        <v>69</v>
      </c>
      <c r="H154" s="24" t="n">
        <v>2</v>
      </c>
      <c r="I154" s="24" t="n">
        <v>21290</v>
      </c>
      <c r="J154" s="24" t="n">
        <v>15500</v>
      </c>
      <c r="K154" s="25" t="n">
        <f aca="false">H154*I154</f>
        <v>42580</v>
      </c>
      <c r="L154" s="25" t="n">
        <f aca="false">H154*(I154-J154)</f>
        <v>11580</v>
      </c>
    </row>
    <row r="155" customFormat="false" ht="15" hidden="false" customHeight="false" outlineLevel="0" collapsed="false">
      <c r="A155" s="21" t="s">
        <v>221</v>
      </c>
      <c r="B155" s="22" t="n">
        <v>45841</v>
      </c>
      <c r="C155" s="23" t="n">
        <f aca="false">YEAR(B155)</f>
        <v>2025</v>
      </c>
      <c r="D155" s="23" t="n">
        <f aca="false">MONTH(B155)</f>
        <v>7</v>
      </c>
      <c r="E155" s="21" t="s">
        <v>43</v>
      </c>
      <c r="F155" s="21" t="s">
        <v>57</v>
      </c>
      <c r="G155" s="21" t="s">
        <v>58</v>
      </c>
      <c r="H155" s="24" t="n">
        <v>29</v>
      </c>
      <c r="I155" s="24" t="n">
        <v>1800</v>
      </c>
      <c r="J155" s="24" t="n">
        <v>1250</v>
      </c>
      <c r="K155" s="25" t="n">
        <f aca="false">H155*I155</f>
        <v>52200</v>
      </c>
      <c r="L155" s="25" t="n">
        <f aca="false">H155*(I155-J155)</f>
        <v>15950</v>
      </c>
    </row>
    <row r="156" customFormat="false" ht="15" hidden="false" customHeight="false" outlineLevel="0" collapsed="false">
      <c r="A156" s="21" t="s">
        <v>222</v>
      </c>
      <c r="B156" s="22" t="n">
        <v>45842</v>
      </c>
      <c r="C156" s="23" t="n">
        <f aca="false">YEAR(B156)</f>
        <v>2025</v>
      </c>
      <c r="D156" s="23" t="n">
        <f aca="false">MONTH(B156)</f>
        <v>7</v>
      </c>
      <c r="E156" s="21" t="s">
        <v>76</v>
      </c>
      <c r="F156" s="21" t="s">
        <v>62</v>
      </c>
      <c r="G156" s="21" t="s">
        <v>72</v>
      </c>
      <c r="H156" s="24" t="n">
        <v>5</v>
      </c>
      <c r="I156" s="24" t="n">
        <v>7350</v>
      </c>
      <c r="J156" s="24" t="n">
        <v>4800</v>
      </c>
      <c r="K156" s="25" t="n">
        <f aca="false">H156*I156</f>
        <v>36750</v>
      </c>
      <c r="L156" s="25" t="n">
        <f aca="false">H156*(I156-J156)</f>
        <v>12750</v>
      </c>
    </row>
    <row r="157" customFormat="false" ht="15" hidden="false" customHeight="false" outlineLevel="0" collapsed="false">
      <c r="A157" s="21" t="s">
        <v>223</v>
      </c>
      <c r="B157" s="22" t="n">
        <v>45842</v>
      </c>
      <c r="C157" s="23" t="n">
        <f aca="false">YEAR(B157)</f>
        <v>2025</v>
      </c>
      <c r="D157" s="23" t="n">
        <f aca="false">MONTH(B157)</f>
        <v>7</v>
      </c>
      <c r="E157" s="21" t="s">
        <v>76</v>
      </c>
      <c r="F157" s="21" t="s">
        <v>65</v>
      </c>
      <c r="G157" s="21" t="s">
        <v>66</v>
      </c>
      <c r="H157" s="24" t="n">
        <v>22</v>
      </c>
      <c r="I157" s="24" t="n">
        <v>4980</v>
      </c>
      <c r="J157" s="24" t="n">
        <v>1900</v>
      </c>
      <c r="K157" s="25" t="n">
        <f aca="false">H157*I157</f>
        <v>109560</v>
      </c>
      <c r="L157" s="25" t="n">
        <f aca="false">H157*(I157-J157)</f>
        <v>67760</v>
      </c>
    </row>
    <row r="158" customFormat="false" ht="15" hidden="false" customHeight="false" outlineLevel="0" collapsed="false">
      <c r="A158" s="21" t="s">
        <v>224</v>
      </c>
      <c r="B158" s="22" t="n">
        <v>45844</v>
      </c>
      <c r="C158" s="23" t="n">
        <f aca="false">YEAR(B158)</f>
        <v>2025</v>
      </c>
      <c r="D158" s="23" t="n">
        <f aca="false">MONTH(B158)</f>
        <v>7</v>
      </c>
      <c r="E158" s="21" t="s">
        <v>61</v>
      </c>
      <c r="F158" s="21" t="s">
        <v>62</v>
      </c>
      <c r="G158" s="21" t="s">
        <v>92</v>
      </c>
      <c r="H158" s="24" t="n">
        <v>3</v>
      </c>
      <c r="I158" s="24" t="n">
        <v>13250</v>
      </c>
      <c r="J158" s="24" t="n">
        <v>9000</v>
      </c>
      <c r="K158" s="25" t="n">
        <f aca="false">H158*I158</f>
        <v>39750</v>
      </c>
      <c r="L158" s="25" t="n">
        <f aca="false">H158*(I158-J158)</f>
        <v>12750</v>
      </c>
    </row>
    <row r="159" customFormat="false" ht="15" hidden="false" customHeight="false" outlineLevel="0" collapsed="false">
      <c r="A159" s="21" t="s">
        <v>225</v>
      </c>
      <c r="B159" s="22" t="n">
        <v>45845</v>
      </c>
      <c r="C159" s="23" t="n">
        <f aca="false">YEAR(B159)</f>
        <v>2025</v>
      </c>
      <c r="D159" s="23" t="n">
        <f aca="false">MONTH(B159)</f>
        <v>7</v>
      </c>
      <c r="E159" s="21" t="s">
        <v>48</v>
      </c>
      <c r="F159" s="21" t="s">
        <v>44</v>
      </c>
      <c r="G159" s="21" t="s">
        <v>49</v>
      </c>
      <c r="H159" s="24" t="n">
        <v>2</v>
      </c>
      <c r="I159" s="24" t="n">
        <v>63090</v>
      </c>
      <c r="J159" s="24" t="n">
        <v>48000</v>
      </c>
      <c r="K159" s="25" t="n">
        <f aca="false">H159*I159</f>
        <v>126180</v>
      </c>
      <c r="L159" s="25" t="n">
        <f aca="false">H159*(I159-J159)</f>
        <v>30180</v>
      </c>
    </row>
    <row r="160" customFormat="false" ht="15" hidden="false" customHeight="false" outlineLevel="0" collapsed="false">
      <c r="A160" s="21" t="s">
        <v>226</v>
      </c>
      <c r="B160" s="22" t="n">
        <v>45848</v>
      </c>
      <c r="C160" s="23" t="n">
        <f aca="false">YEAR(B160)</f>
        <v>2025</v>
      </c>
      <c r="D160" s="23" t="n">
        <f aca="false">MONTH(B160)</f>
        <v>7</v>
      </c>
      <c r="E160" s="21" t="s">
        <v>48</v>
      </c>
      <c r="F160" s="21" t="s">
        <v>57</v>
      </c>
      <c r="G160" s="21" t="s">
        <v>78</v>
      </c>
      <c r="H160" s="24" t="n">
        <v>14</v>
      </c>
      <c r="I160" s="24" t="n">
        <v>638</v>
      </c>
      <c r="J160" s="24" t="n">
        <v>320</v>
      </c>
      <c r="K160" s="25" t="n">
        <f aca="false">H160*I160</f>
        <v>8932</v>
      </c>
      <c r="L160" s="25" t="n">
        <f aca="false">H160*(I160-J160)</f>
        <v>4452</v>
      </c>
    </row>
    <row r="161" customFormat="false" ht="15" hidden="false" customHeight="false" outlineLevel="0" collapsed="false">
      <c r="A161" s="21" t="s">
        <v>227</v>
      </c>
      <c r="B161" s="22" t="n">
        <v>45848</v>
      </c>
      <c r="C161" s="23" t="n">
        <f aca="false">YEAR(B161)</f>
        <v>2025</v>
      </c>
      <c r="D161" s="23" t="n">
        <f aca="false">MONTH(B161)</f>
        <v>7</v>
      </c>
      <c r="E161" s="21" t="s">
        <v>43</v>
      </c>
      <c r="F161" s="21" t="s">
        <v>62</v>
      </c>
      <c r="G161" s="21" t="s">
        <v>72</v>
      </c>
      <c r="H161" s="24" t="n">
        <v>3</v>
      </c>
      <c r="I161" s="24" t="n">
        <v>7040</v>
      </c>
      <c r="J161" s="24" t="n">
        <v>4800</v>
      </c>
      <c r="K161" s="25" t="n">
        <f aca="false">H161*I161</f>
        <v>21120</v>
      </c>
      <c r="L161" s="25" t="n">
        <f aca="false">H161*(I161-J161)</f>
        <v>6720</v>
      </c>
    </row>
    <row r="162" customFormat="false" ht="15" hidden="false" customHeight="false" outlineLevel="0" collapsed="false">
      <c r="A162" s="21" t="s">
        <v>228</v>
      </c>
      <c r="B162" s="22" t="n">
        <v>45852</v>
      </c>
      <c r="C162" s="23" t="n">
        <f aca="false">YEAR(B162)</f>
        <v>2025</v>
      </c>
      <c r="D162" s="23" t="n">
        <f aca="false">MONTH(B162)</f>
        <v>7</v>
      </c>
      <c r="E162" s="21" t="s">
        <v>56</v>
      </c>
      <c r="F162" s="21" t="s">
        <v>65</v>
      </c>
      <c r="G162" s="21" t="s">
        <v>89</v>
      </c>
      <c r="H162" s="24" t="n">
        <v>21</v>
      </c>
      <c r="I162" s="24" t="n">
        <v>1790</v>
      </c>
      <c r="J162" s="24" t="n">
        <v>500</v>
      </c>
      <c r="K162" s="25" t="n">
        <f aca="false">H162*I162</f>
        <v>37590</v>
      </c>
      <c r="L162" s="25" t="n">
        <f aca="false">H162*(I162-J162)</f>
        <v>27090</v>
      </c>
    </row>
    <row r="163" customFormat="false" ht="15" hidden="false" customHeight="false" outlineLevel="0" collapsed="false">
      <c r="A163" s="21" t="s">
        <v>229</v>
      </c>
      <c r="B163" s="22" t="n">
        <v>45852</v>
      </c>
      <c r="C163" s="23" t="n">
        <f aca="false">YEAR(B163)</f>
        <v>2025</v>
      </c>
      <c r="D163" s="23" t="n">
        <f aca="false">MONTH(B163)</f>
        <v>7</v>
      </c>
      <c r="E163" s="21" t="s">
        <v>76</v>
      </c>
      <c r="F163" s="21" t="s">
        <v>62</v>
      </c>
      <c r="G163" s="21" t="s">
        <v>63</v>
      </c>
      <c r="H163" s="24" t="n">
        <v>1</v>
      </c>
      <c r="I163" s="24" t="n">
        <v>27430</v>
      </c>
      <c r="J163" s="24" t="n">
        <v>19500</v>
      </c>
      <c r="K163" s="25" t="n">
        <f aca="false">H163*I163</f>
        <v>27430</v>
      </c>
      <c r="L163" s="25" t="n">
        <f aca="false">H163*(I163-J163)</f>
        <v>7930</v>
      </c>
    </row>
    <row r="164" customFormat="false" ht="15" hidden="false" customHeight="false" outlineLevel="0" collapsed="false">
      <c r="A164" s="21" t="s">
        <v>230</v>
      </c>
      <c r="B164" s="22" t="n">
        <v>45853</v>
      </c>
      <c r="C164" s="23" t="n">
        <f aca="false">YEAR(B164)</f>
        <v>2025</v>
      </c>
      <c r="D164" s="23" t="n">
        <f aca="false">MONTH(B164)</f>
        <v>7</v>
      </c>
      <c r="E164" s="21" t="s">
        <v>56</v>
      </c>
      <c r="F164" s="21" t="s">
        <v>65</v>
      </c>
      <c r="G164" s="21" t="s">
        <v>81</v>
      </c>
      <c r="H164" s="24" t="n">
        <v>11</v>
      </c>
      <c r="I164" s="24" t="n">
        <v>9470</v>
      </c>
      <c r="J164" s="24" t="n">
        <v>2500</v>
      </c>
      <c r="K164" s="25" t="n">
        <f aca="false">H164*I164</f>
        <v>104170</v>
      </c>
      <c r="L164" s="25" t="n">
        <f aca="false">H164*(I164-J164)</f>
        <v>76670</v>
      </c>
    </row>
    <row r="165" customFormat="false" ht="15" hidden="false" customHeight="false" outlineLevel="0" collapsed="false">
      <c r="A165" s="21" t="s">
        <v>231</v>
      </c>
      <c r="B165" s="22" t="n">
        <v>45854</v>
      </c>
      <c r="C165" s="23" t="n">
        <f aca="false">YEAR(B165)</f>
        <v>2025</v>
      </c>
      <c r="D165" s="23" t="n">
        <f aca="false">MONTH(B165)</f>
        <v>7</v>
      </c>
      <c r="E165" s="21" t="s">
        <v>61</v>
      </c>
      <c r="F165" s="21" t="s">
        <v>57</v>
      </c>
      <c r="G165" s="21" t="s">
        <v>78</v>
      </c>
      <c r="H165" s="24" t="n">
        <v>38</v>
      </c>
      <c r="I165" s="24" t="n">
        <v>624</v>
      </c>
      <c r="J165" s="24" t="n">
        <v>320</v>
      </c>
      <c r="K165" s="25" t="n">
        <f aca="false">H165*I165</f>
        <v>23712</v>
      </c>
      <c r="L165" s="25" t="n">
        <f aca="false">H165*(I165-J165)</f>
        <v>11552</v>
      </c>
    </row>
    <row r="166" customFormat="false" ht="15" hidden="false" customHeight="false" outlineLevel="0" collapsed="false">
      <c r="A166" s="21" t="s">
        <v>232</v>
      </c>
      <c r="B166" s="22" t="n">
        <v>45854</v>
      </c>
      <c r="C166" s="23" t="n">
        <f aca="false">YEAR(B166)</f>
        <v>2025</v>
      </c>
      <c r="D166" s="23" t="n">
        <f aca="false">MONTH(B166)</f>
        <v>7</v>
      </c>
      <c r="E166" s="21" t="s">
        <v>48</v>
      </c>
      <c r="F166" s="21" t="s">
        <v>65</v>
      </c>
      <c r="G166" s="21" t="s">
        <v>89</v>
      </c>
      <c r="H166" s="24" t="n">
        <v>24</v>
      </c>
      <c r="I166" s="24" t="n">
        <v>1690</v>
      </c>
      <c r="J166" s="24" t="n">
        <v>500</v>
      </c>
      <c r="K166" s="25" t="n">
        <f aca="false">H166*I166</f>
        <v>40560</v>
      </c>
      <c r="L166" s="25" t="n">
        <f aca="false">H166*(I166-J166)</f>
        <v>28560</v>
      </c>
    </row>
    <row r="167" customFormat="false" ht="15" hidden="false" customHeight="false" outlineLevel="0" collapsed="false">
      <c r="A167" s="21" t="s">
        <v>233</v>
      </c>
      <c r="B167" s="22" t="n">
        <v>45855</v>
      </c>
      <c r="C167" s="23" t="n">
        <f aca="false">YEAR(B167)</f>
        <v>2025</v>
      </c>
      <c r="D167" s="23" t="n">
        <f aca="false">MONTH(B167)</f>
        <v>7</v>
      </c>
      <c r="E167" s="21" t="s">
        <v>43</v>
      </c>
      <c r="F167" s="21" t="s">
        <v>57</v>
      </c>
      <c r="G167" s="21" t="s">
        <v>58</v>
      </c>
      <c r="H167" s="24" t="n">
        <v>27</v>
      </c>
      <c r="I167" s="24" t="n">
        <v>1760</v>
      </c>
      <c r="J167" s="24" t="n">
        <v>1250</v>
      </c>
      <c r="K167" s="25" t="n">
        <f aca="false">H167*I167</f>
        <v>47520</v>
      </c>
      <c r="L167" s="25" t="n">
        <f aca="false">H167*(I167-J167)</f>
        <v>13770</v>
      </c>
    </row>
    <row r="168" customFormat="false" ht="15" hidden="false" customHeight="false" outlineLevel="0" collapsed="false">
      <c r="A168" s="21" t="s">
        <v>234</v>
      </c>
      <c r="B168" s="22" t="n">
        <v>45856</v>
      </c>
      <c r="C168" s="23" t="n">
        <f aca="false">YEAR(B168)</f>
        <v>2025</v>
      </c>
      <c r="D168" s="23" t="n">
        <f aca="false">MONTH(B168)</f>
        <v>7</v>
      </c>
      <c r="E168" s="21" t="s">
        <v>76</v>
      </c>
      <c r="F168" s="21" t="s">
        <v>62</v>
      </c>
      <c r="G168" s="21" t="s">
        <v>72</v>
      </c>
      <c r="H168" s="24" t="n">
        <v>2</v>
      </c>
      <c r="I168" s="24" t="n">
        <v>7280</v>
      </c>
      <c r="J168" s="24" t="n">
        <v>4800</v>
      </c>
      <c r="K168" s="25" t="n">
        <f aca="false">H168*I168</f>
        <v>14560</v>
      </c>
      <c r="L168" s="25" t="n">
        <f aca="false">H168*(I168-J168)</f>
        <v>4960</v>
      </c>
    </row>
    <row r="169" customFormat="false" ht="15" hidden="false" customHeight="false" outlineLevel="0" collapsed="false">
      <c r="A169" s="21" t="s">
        <v>235</v>
      </c>
      <c r="B169" s="22" t="n">
        <v>45856</v>
      </c>
      <c r="C169" s="23" t="n">
        <f aca="false">YEAR(B169)</f>
        <v>2025</v>
      </c>
      <c r="D169" s="23" t="n">
        <f aca="false">MONTH(B169)</f>
        <v>7</v>
      </c>
      <c r="E169" s="21" t="s">
        <v>48</v>
      </c>
      <c r="F169" s="21" t="s">
        <v>65</v>
      </c>
      <c r="G169" s="21" t="s">
        <v>89</v>
      </c>
      <c r="H169" s="24" t="n">
        <v>26</v>
      </c>
      <c r="I169" s="24" t="n">
        <v>1740</v>
      </c>
      <c r="J169" s="24" t="n">
        <v>500</v>
      </c>
      <c r="K169" s="25" t="n">
        <f aca="false">H169*I169</f>
        <v>45240</v>
      </c>
      <c r="L169" s="25" t="n">
        <f aca="false">H169*(I169-J169)</f>
        <v>32240</v>
      </c>
    </row>
    <row r="170" customFormat="false" ht="15" hidden="false" customHeight="false" outlineLevel="0" collapsed="false">
      <c r="A170" s="21" t="s">
        <v>236</v>
      </c>
      <c r="B170" s="22" t="n">
        <v>45856</v>
      </c>
      <c r="C170" s="23" t="n">
        <f aca="false">YEAR(B170)</f>
        <v>2025</v>
      </c>
      <c r="D170" s="23" t="n">
        <f aca="false">MONTH(B170)</f>
        <v>7</v>
      </c>
      <c r="E170" s="21" t="s">
        <v>56</v>
      </c>
      <c r="F170" s="21" t="s">
        <v>57</v>
      </c>
      <c r="G170" s="21" t="s">
        <v>78</v>
      </c>
      <c r="H170" s="24" t="n">
        <v>51</v>
      </c>
      <c r="I170" s="24" t="n">
        <v>639</v>
      </c>
      <c r="J170" s="24" t="n">
        <v>320</v>
      </c>
      <c r="K170" s="25" t="n">
        <f aca="false">H170*I170</f>
        <v>32589</v>
      </c>
      <c r="L170" s="25" t="n">
        <f aca="false">H170*(I170-J170)</f>
        <v>16269</v>
      </c>
    </row>
    <row r="171" customFormat="false" ht="15" hidden="false" customHeight="false" outlineLevel="0" collapsed="false">
      <c r="A171" s="21" t="s">
        <v>237</v>
      </c>
      <c r="B171" s="22" t="n">
        <v>45857</v>
      </c>
      <c r="C171" s="23" t="n">
        <f aca="false">YEAR(B171)</f>
        <v>2025</v>
      </c>
      <c r="D171" s="23" t="n">
        <f aca="false">MONTH(B171)</f>
        <v>7</v>
      </c>
      <c r="E171" s="21" t="s">
        <v>76</v>
      </c>
      <c r="F171" s="21" t="s">
        <v>62</v>
      </c>
      <c r="G171" s="21" t="s">
        <v>92</v>
      </c>
      <c r="H171" s="24" t="n">
        <v>4</v>
      </c>
      <c r="I171" s="24" t="n">
        <v>13460</v>
      </c>
      <c r="J171" s="24" t="n">
        <v>9000</v>
      </c>
      <c r="K171" s="25" t="n">
        <f aca="false">H171*I171</f>
        <v>53840</v>
      </c>
      <c r="L171" s="25" t="n">
        <f aca="false">H171*(I171-J171)</f>
        <v>17840</v>
      </c>
    </row>
    <row r="172" customFormat="false" ht="15" hidden="false" customHeight="false" outlineLevel="0" collapsed="false">
      <c r="A172" s="21" t="s">
        <v>238</v>
      </c>
      <c r="B172" s="22" t="n">
        <v>45858</v>
      </c>
      <c r="C172" s="23" t="n">
        <f aca="false">YEAR(B172)</f>
        <v>2025</v>
      </c>
      <c r="D172" s="23" t="n">
        <f aca="false">MONTH(B172)</f>
        <v>7</v>
      </c>
      <c r="E172" s="21" t="s">
        <v>56</v>
      </c>
      <c r="F172" s="21" t="s">
        <v>57</v>
      </c>
      <c r="G172" s="21" t="s">
        <v>74</v>
      </c>
      <c r="H172" s="24" t="n">
        <v>29</v>
      </c>
      <c r="I172" s="24" t="n">
        <v>344</v>
      </c>
      <c r="J172" s="24" t="n">
        <v>170</v>
      </c>
      <c r="K172" s="25" t="n">
        <f aca="false">H172*I172</f>
        <v>9976</v>
      </c>
      <c r="L172" s="25" t="n">
        <f aca="false">H172*(I172-J172)</f>
        <v>5046</v>
      </c>
    </row>
    <row r="173" customFormat="false" ht="15" hidden="false" customHeight="false" outlineLevel="0" collapsed="false">
      <c r="A173" s="21" t="s">
        <v>239</v>
      </c>
      <c r="B173" s="22" t="n">
        <v>45858</v>
      </c>
      <c r="C173" s="23" t="n">
        <f aca="false">YEAR(B173)</f>
        <v>2025</v>
      </c>
      <c r="D173" s="23" t="n">
        <f aca="false">MONTH(B173)</f>
        <v>7</v>
      </c>
      <c r="E173" s="21" t="s">
        <v>43</v>
      </c>
      <c r="F173" s="21" t="s">
        <v>57</v>
      </c>
      <c r="G173" s="21" t="s">
        <v>78</v>
      </c>
      <c r="H173" s="24" t="n">
        <v>32</v>
      </c>
      <c r="I173" s="24" t="n">
        <v>638</v>
      </c>
      <c r="J173" s="24" t="n">
        <v>320</v>
      </c>
      <c r="K173" s="25" t="n">
        <f aca="false">H173*I173</f>
        <v>20416</v>
      </c>
      <c r="L173" s="25" t="n">
        <f aca="false">H173*(I173-J173)</f>
        <v>10176</v>
      </c>
    </row>
    <row r="174" customFormat="false" ht="15" hidden="false" customHeight="false" outlineLevel="0" collapsed="false">
      <c r="A174" s="21" t="s">
        <v>240</v>
      </c>
      <c r="B174" s="22" t="n">
        <v>45860</v>
      </c>
      <c r="C174" s="23" t="n">
        <f aca="false">YEAR(B174)</f>
        <v>2025</v>
      </c>
      <c r="D174" s="23" t="n">
        <f aca="false">MONTH(B174)</f>
        <v>7</v>
      </c>
      <c r="E174" s="21" t="s">
        <v>56</v>
      </c>
      <c r="F174" s="21" t="s">
        <v>57</v>
      </c>
      <c r="G174" s="21" t="s">
        <v>58</v>
      </c>
      <c r="H174" s="24" t="n">
        <v>9</v>
      </c>
      <c r="I174" s="24" t="n">
        <v>1790</v>
      </c>
      <c r="J174" s="24" t="n">
        <v>1250</v>
      </c>
      <c r="K174" s="25" t="n">
        <f aca="false">H174*I174</f>
        <v>16110</v>
      </c>
      <c r="L174" s="25" t="n">
        <f aca="false">H174*(I174-J174)</f>
        <v>4860</v>
      </c>
    </row>
    <row r="175" customFormat="false" ht="15" hidden="false" customHeight="false" outlineLevel="0" collapsed="false">
      <c r="A175" s="21" t="s">
        <v>241</v>
      </c>
      <c r="B175" s="22" t="n">
        <v>45864</v>
      </c>
      <c r="C175" s="23" t="n">
        <f aca="false">YEAR(B175)</f>
        <v>2025</v>
      </c>
      <c r="D175" s="23" t="n">
        <f aca="false">MONTH(B175)</f>
        <v>7</v>
      </c>
      <c r="E175" s="21" t="s">
        <v>48</v>
      </c>
      <c r="F175" s="21" t="s">
        <v>65</v>
      </c>
      <c r="G175" s="21" t="s">
        <v>66</v>
      </c>
      <c r="H175" s="24" t="n">
        <v>14</v>
      </c>
      <c r="I175" s="24" t="n">
        <v>4800</v>
      </c>
      <c r="J175" s="24" t="n">
        <v>1900</v>
      </c>
      <c r="K175" s="25" t="n">
        <f aca="false">H175*I175</f>
        <v>67200</v>
      </c>
      <c r="L175" s="25" t="n">
        <f aca="false">H175*(I175-J175)</f>
        <v>40600</v>
      </c>
    </row>
    <row r="176" customFormat="false" ht="15" hidden="false" customHeight="false" outlineLevel="0" collapsed="false">
      <c r="A176" s="21" t="s">
        <v>242</v>
      </c>
      <c r="B176" s="22" t="n">
        <v>45866</v>
      </c>
      <c r="C176" s="23" t="n">
        <f aca="false">YEAR(B176)</f>
        <v>2025</v>
      </c>
      <c r="D176" s="23" t="n">
        <f aca="false">MONTH(B176)</f>
        <v>7</v>
      </c>
      <c r="E176" s="21" t="s">
        <v>43</v>
      </c>
      <c r="F176" s="21" t="s">
        <v>62</v>
      </c>
      <c r="G176" s="21" t="s">
        <v>92</v>
      </c>
      <c r="H176" s="24" t="n">
        <v>6</v>
      </c>
      <c r="I176" s="24" t="n">
        <v>14300</v>
      </c>
      <c r="J176" s="24" t="n">
        <v>9000</v>
      </c>
      <c r="K176" s="25" t="n">
        <f aca="false">H176*I176</f>
        <v>85800</v>
      </c>
      <c r="L176" s="25" t="n">
        <f aca="false">H176*(I176-J176)</f>
        <v>31800</v>
      </c>
    </row>
    <row r="177" customFormat="false" ht="15" hidden="false" customHeight="false" outlineLevel="0" collapsed="false">
      <c r="A177" s="21" t="s">
        <v>243</v>
      </c>
      <c r="B177" s="22" t="n">
        <v>45866</v>
      </c>
      <c r="C177" s="23" t="n">
        <f aca="false">YEAR(B177)</f>
        <v>2025</v>
      </c>
      <c r="D177" s="23" t="n">
        <f aca="false">MONTH(B177)</f>
        <v>7</v>
      </c>
      <c r="E177" s="21" t="s">
        <v>56</v>
      </c>
      <c r="F177" s="21" t="s">
        <v>57</v>
      </c>
      <c r="G177" s="21" t="s">
        <v>74</v>
      </c>
      <c r="H177" s="24" t="n">
        <v>77</v>
      </c>
      <c r="I177" s="24" t="n">
        <v>336</v>
      </c>
      <c r="J177" s="24" t="n">
        <v>170</v>
      </c>
      <c r="K177" s="25" t="n">
        <f aca="false">H177*I177</f>
        <v>25872</v>
      </c>
      <c r="L177" s="25" t="n">
        <f aca="false">H177*(I177-J177)</f>
        <v>12782</v>
      </c>
    </row>
    <row r="178" customFormat="false" ht="15" hidden="false" customHeight="false" outlineLevel="0" collapsed="false">
      <c r="A178" s="21" t="s">
        <v>244</v>
      </c>
      <c r="B178" s="22" t="n">
        <v>45867</v>
      </c>
      <c r="C178" s="23" t="n">
        <f aca="false">YEAR(B178)</f>
        <v>2025</v>
      </c>
      <c r="D178" s="23" t="n">
        <f aca="false">MONTH(B178)</f>
        <v>7</v>
      </c>
      <c r="E178" s="21" t="s">
        <v>76</v>
      </c>
      <c r="F178" s="21" t="s">
        <v>57</v>
      </c>
      <c r="G178" s="21" t="s">
        <v>58</v>
      </c>
      <c r="H178" s="24" t="n">
        <v>5</v>
      </c>
      <c r="I178" s="24" t="n">
        <v>1750</v>
      </c>
      <c r="J178" s="24" t="n">
        <v>1250</v>
      </c>
      <c r="K178" s="25" t="n">
        <f aca="false">H178*I178</f>
        <v>8750</v>
      </c>
      <c r="L178" s="25" t="n">
        <f aca="false">H178*(I178-J178)</f>
        <v>2500</v>
      </c>
    </row>
    <row r="179" customFormat="false" ht="15" hidden="false" customHeight="false" outlineLevel="0" collapsed="false">
      <c r="A179" s="21" t="s">
        <v>245</v>
      </c>
      <c r="B179" s="22" t="n">
        <v>45867</v>
      </c>
      <c r="C179" s="23" t="n">
        <f aca="false">YEAR(B179)</f>
        <v>2025</v>
      </c>
      <c r="D179" s="23" t="n">
        <f aca="false">MONTH(B179)</f>
        <v>7</v>
      </c>
      <c r="E179" s="21" t="s">
        <v>43</v>
      </c>
      <c r="F179" s="21" t="s">
        <v>44</v>
      </c>
      <c r="G179" s="21" t="s">
        <v>45</v>
      </c>
      <c r="H179" s="24" t="n">
        <v>9</v>
      </c>
      <c r="I179" s="24" t="n">
        <v>4280</v>
      </c>
      <c r="J179" s="24" t="n">
        <v>2800</v>
      </c>
      <c r="K179" s="25" t="n">
        <f aca="false">H179*I179</f>
        <v>38520</v>
      </c>
      <c r="L179" s="25" t="n">
        <f aca="false">H179*(I179-J179)</f>
        <v>13320</v>
      </c>
    </row>
    <row r="180" customFormat="false" ht="15" hidden="false" customHeight="false" outlineLevel="0" collapsed="false">
      <c r="A180" s="21" t="s">
        <v>246</v>
      </c>
      <c r="B180" s="22" t="n">
        <v>45868</v>
      </c>
      <c r="C180" s="23" t="n">
        <f aca="false">YEAR(B180)</f>
        <v>2025</v>
      </c>
      <c r="D180" s="23" t="n">
        <f aca="false">MONTH(B180)</f>
        <v>7</v>
      </c>
      <c r="E180" s="21" t="s">
        <v>43</v>
      </c>
      <c r="F180" s="21" t="s">
        <v>65</v>
      </c>
      <c r="G180" s="21" t="s">
        <v>66</v>
      </c>
      <c r="H180" s="24" t="n">
        <v>11</v>
      </c>
      <c r="I180" s="24" t="n">
        <v>4910</v>
      </c>
      <c r="J180" s="24" t="n">
        <v>1900</v>
      </c>
      <c r="K180" s="25" t="n">
        <f aca="false">H180*I180</f>
        <v>54010</v>
      </c>
      <c r="L180" s="25" t="n">
        <f aca="false">H180*(I180-J180)</f>
        <v>33110</v>
      </c>
    </row>
    <row r="181" customFormat="false" ht="15" hidden="false" customHeight="false" outlineLevel="0" collapsed="false">
      <c r="A181" s="21" t="s">
        <v>247</v>
      </c>
      <c r="B181" s="22" t="n">
        <v>45868</v>
      </c>
      <c r="C181" s="23" t="n">
        <f aca="false">YEAR(B181)</f>
        <v>2025</v>
      </c>
      <c r="D181" s="23" t="n">
        <f aca="false">MONTH(B181)</f>
        <v>7</v>
      </c>
      <c r="E181" s="21" t="s">
        <v>56</v>
      </c>
      <c r="F181" s="21" t="s">
        <v>44</v>
      </c>
      <c r="G181" s="21" t="s">
        <v>45</v>
      </c>
      <c r="H181" s="24" t="n">
        <v>10</v>
      </c>
      <c r="I181" s="24" t="n">
        <v>4200</v>
      </c>
      <c r="J181" s="24" t="n">
        <v>2800</v>
      </c>
      <c r="K181" s="25" t="n">
        <f aca="false">H181*I181</f>
        <v>42000</v>
      </c>
      <c r="L181" s="25" t="n">
        <f aca="false">H181*(I181-J181)</f>
        <v>14000</v>
      </c>
    </row>
    <row r="182" customFormat="false" ht="15" hidden="false" customHeight="false" outlineLevel="0" collapsed="false">
      <c r="A182" s="21" t="s">
        <v>248</v>
      </c>
      <c r="B182" s="22" t="n">
        <v>45868</v>
      </c>
      <c r="C182" s="23" t="n">
        <f aca="false">YEAR(B182)</f>
        <v>2025</v>
      </c>
      <c r="D182" s="23" t="n">
        <f aca="false">MONTH(B182)</f>
        <v>7</v>
      </c>
      <c r="E182" s="21" t="s">
        <v>56</v>
      </c>
      <c r="F182" s="21" t="s">
        <v>62</v>
      </c>
      <c r="G182" s="21" t="s">
        <v>92</v>
      </c>
      <c r="H182" s="24" t="n">
        <v>2</v>
      </c>
      <c r="I182" s="24" t="n">
        <v>13940</v>
      </c>
      <c r="J182" s="24" t="n">
        <v>9000</v>
      </c>
      <c r="K182" s="25" t="n">
        <f aca="false">H182*I182</f>
        <v>27880</v>
      </c>
      <c r="L182" s="25" t="n">
        <f aca="false">H182*(I182-J182)</f>
        <v>9880</v>
      </c>
    </row>
    <row r="183" customFormat="false" ht="15" hidden="false" customHeight="false" outlineLevel="0" collapsed="false">
      <c r="A183" s="21" t="s">
        <v>249</v>
      </c>
      <c r="B183" s="22" t="n">
        <v>45868</v>
      </c>
      <c r="C183" s="23" t="n">
        <f aca="false">YEAR(B183)</f>
        <v>2025</v>
      </c>
      <c r="D183" s="23" t="n">
        <f aca="false">MONTH(B183)</f>
        <v>7</v>
      </c>
      <c r="E183" s="21" t="s">
        <v>43</v>
      </c>
      <c r="F183" s="21" t="s">
        <v>44</v>
      </c>
      <c r="G183" s="21" t="s">
        <v>45</v>
      </c>
      <c r="H183" s="24" t="n">
        <v>11</v>
      </c>
      <c r="I183" s="24" t="n">
        <v>4590</v>
      </c>
      <c r="J183" s="24" t="n">
        <v>2800</v>
      </c>
      <c r="K183" s="25" t="n">
        <f aca="false">H183*I183</f>
        <v>50490</v>
      </c>
      <c r="L183" s="25" t="n">
        <f aca="false">H183*(I183-J183)</f>
        <v>19690</v>
      </c>
    </row>
    <row r="184" customFormat="false" ht="15" hidden="false" customHeight="false" outlineLevel="0" collapsed="false">
      <c r="A184" s="21" t="s">
        <v>250</v>
      </c>
      <c r="B184" s="22" t="n">
        <v>45868</v>
      </c>
      <c r="C184" s="23" t="n">
        <f aca="false">YEAR(B184)</f>
        <v>2025</v>
      </c>
      <c r="D184" s="23" t="n">
        <f aca="false">MONTH(B184)</f>
        <v>7</v>
      </c>
      <c r="E184" s="21" t="s">
        <v>48</v>
      </c>
      <c r="F184" s="21" t="s">
        <v>44</v>
      </c>
      <c r="G184" s="21" t="s">
        <v>45</v>
      </c>
      <c r="H184" s="24" t="n">
        <v>8</v>
      </c>
      <c r="I184" s="24" t="n">
        <v>4370</v>
      </c>
      <c r="J184" s="24" t="n">
        <v>2800</v>
      </c>
      <c r="K184" s="25" t="n">
        <f aca="false">H184*I184</f>
        <v>34960</v>
      </c>
      <c r="L184" s="25" t="n">
        <f aca="false">H184*(I184-J184)</f>
        <v>12560</v>
      </c>
    </row>
    <row r="185" customFormat="false" ht="15" hidden="false" customHeight="false" outlineLevel="0" collapsed="false">
      <c r="A185" s="21" t="s">
        <v>251</v>
      </c>
      <c r="B185" s="22" t="n">
        <v>45869</v>
      </c>
      <c r="C185" s="23" t="n">
        <f aca="false">YEAR(B185)</f>
        <v>2025</v>
      </c>
      <c r="D185" s="23" t="n">
        <f aca="false">MONTH(B185)</f>
        <v>7</v>
      </c>
      <c r="E185" s="21" t="s">
        <v>61</v>
      </c>
      <c r="F185" s="21" t="s">
        <v>57</v>
      </c>
      <c r="G185" s="21" t="s">
        <v>74</v>
      </c>
      <c r="H185" s="24" t="n">
        <v>46</v>
      </c>
      <c r="I185" s="24" t="n">
        <v>359</v>
      </c>
      <c r="J185" s="24" t="n">
        <v>170</v>
      </c>
      <c r="K185" s="25" t="n">
        <f aca="false">H185*I185</f>
        <v>16514</v>
      </c>
      <c r="L185" s="25" t="n">
        <f aca="false">H185*(I185-J185)</f>
        <v>8694</v>
      </c>
    </row>
    <row r="186" customFormat="false" ht="15" hidden="false" customHeight="false" outlineLevel="0" collapsed="false">
      <c r="A186" s="21" t="s">
        <v>252</v>
      </c>
      <c r="B186" s="22" t="n">
        <v>45870</v>
      </c>
      <c r="C186" s="23" t="n">
        <f aca="false">YEAR(B186)</f>
        <v>2025</v>
      </c>
      <c r="D186" s="23" t="n">
        <f aca="false">MONTH(B186)</f>
        <v>8</v>
      </c>
      <c r="E186" s="21" t="s">
        <v>43</v>
      </c>
      <c r="F186" s="21" t="s">
        <v>57</v>
      </c>
      <c r="G186" s="21" t="s">
        <v>74</v>
      </c>
      <c r="H186" s="24" t="n">
        <v>40</v>
      </c>
      <c r="I186" s="24" t="n">
        <v>343</v>
      </c>
      <c r="J186" s="24" t="n">
        <v>170</v>
      </c>
      <c r="K186" s="25" t="n">
        <f aca="false">H186*I186</f>
        <v>13720</v>
      </c>
      <c r="L186" s="25" t="n">
        <f aca="false">H186*(I186-J186)</f>
        <v>6920</v>
      </c>
    </row>
    <row r="187" customFormat="false" ht="15" hidden="false" customHeight="false" outlineLevel="0" collapsed="false">
      <c r="A187" s="21" t="s">
        <v>253</v>
      </c>
      <c r="B187" s="22" t="n">
        <v>45870</v>
      </c>
      <c r="C187" s="23" t="n">
        <f aca="false">YEAR(B187)</f>
        <v>2025</v>
      </c>
      <c r="D187" s="23" t="n">
        <f aca="false">MONTH(B187)</f>
        <v>8</v>
      </c>
      <c r="E187" s="21" t="s">
        <v>48</v>
      </c>
      <c r="F187" s="21" t="s">
        <v>65</v>
      </c>
      <c r="G187" s="21" t="s">
        <v>81</v>
      </c>
      <c r="H187" s="24" t="n">
        <v>7</v>
      </c>
      <c r="I187" s="24" t="n">
        <v>9220</v>
      </c>
      <c r="J187" s="24" t="n">
        <v>2500</v>
      </c>
      <c r="K187" s="25" t="n">
        <f aca="false">H187*I187</f>
        <v>64540</v>
      </c>
      <c r="L187" s="25" t="n">
        <f aca="false">H187*(I187-J187)</f>
        <v>47040</v>
      </c>
    </row>
    <row r="188" customFormat="false" ht="15" hidden="false" customHeight="false" outlineLevel="0" collapsed="false">
      <c r="A188" s="21" t="s">
        <v>254</v>
      </c>
      <c r="B188" s="22" t="n">
        <v>45870</v>
      </c>
      <c r="C188" s="23" t="n">
        <f aca="false">YEAR(B188)</f>
        <v>2025</v>
      </c>
      <c r="D188" s="23" t="n">
        <f aca="false">MONTH(B188)</f>
        <v>8</v>
      </c>
      <c r="E188" s="21" t="s">
        <v>61</v>
      </c>
      <c r="F188" s="21" t="s">
        <v>65</v>
      </c>
      <c r="G188" s="21" t="s">
        <v>66</v>
      </c>
      <c r="H188" s="24" t="n">
        <v>16</v>
      </c>
      <c r="I188" s="24" t="n">
        <v>4870</v>
      </c>
      <c r="J188" s="24" t="n">
        <v>1900</v>
      </c>
      <c r="K188" s="25" t="n">
        <f aca="false">H188*I188</f>
        <v>77920</v>
      </c>
      <c r="L188" s="25" t="n">
        <f aca="false">H188*(I188-J188)</f>
        <v>47520</v>
      </c>
    </row>
    <row r="189" customFormat="false" ht="15" hidden="false" customHeight="false" outlineLevel="0" collapsed="false">
      <c r="A189" s="21" t="s">
        <v>255</v>
      </c>
      <c r="B189" s="22" t="n">
        <v>45871</v>
      </c>
      <c r="C189" s="23" t="n">
        <f aca="false">YEAR(B189)</f>
        <v>2025</v>
      </c>
      <c r="D189" s="23" t="n">
        <f aca="false">MONTH(B189)</f>
        <v>8</v>
      </c>
      <c r="E189" s="21" t="s">
        <v>76</v>
      </c>
      <c r="F189" s="21" t="s">
        <v>57</v>
      </c>
      <c r="G189" s="21" t="s">
        <v>74</v>
      </c>
      <c r="H189" s="24" t="n">
        <v>63</v>
      </c>
      <c r="I189" s="24" t="n">
        <v>366</v>
      </c>
      <c r="J189" s="24" t="n">
        <v>170</v>
      </c>
      <c r="K189" s="25" t="n">
        <f aca="false">H189*I189</f>
        <v>23058</v>
      </c>
      <c r="L189" s="25" t="n">
        <f aca="false">H189*(I189-J189)</f>
        <v>12348</v>
      </c>
    </row>
    <row r="190" customFormat="false" ht="15" hidden="false" customHeight="false" outlineLevel="0" collapsed="false">
      <c r="A190" s="21" t="s">
        <v>256</v>
      </c>
      <c r="B190" s="22" t="n">
        <v>45872</v>
      </c>
      <c r="C190" s="23" t="n">
        <f aca="false">YEAR(B190)</f>
        <v>2025</v>
      </c>
      <c r="D190" s="23" t="n">
        <f aca="false">MONTH(B190)</f>
        <v>8</v>
      </c>
      <c r="E190" s="21" t="s">
        <v>56</v>
      </c>
      <c r="F190" s="21" t="s">
        <v>65</v>
      </c>
      <c r="G190" s="21" t="s">
        <v>81</v>
      </c>
      <c r="H190" s="24" t="n">
        <v>5</v>
      </c>
      <c r="I190" s="24" t="n">
        <v>9750</v>
      </c>
      <c r="J190" s="24" t="n">
        <v>2500</v>
      </c>
      <c r="K190" s="25" t="n">
        <f aca="false">H190*I190</f>
        <v>48750</v>
      </c>
      <c r="L190" s="25" t="n">
        <f aca="false">H190*(I190-J190)</f>
        <v>36250</v>
      </c>
    </row>
    <row r="191" customFormat="false" ht="15" hidden="false" customHeight="false" outlineLevel="0" collapsed="false">
      <c r="A191" s="21" t="s">
        <v>257</v>
      </c>
      <c r="B191" s="22" t="n">
        <v>45872</v>
      </c>
      <c r="C191" s="23" t="n">
        <f aca="false">YEAR(B191)</f>
        <v>2025</v>
      </c>
      <c r="D191" s="23" t="n">
        <f aca="false">MONTH(B191)</f>
        <v>8</v>
      </c>
      <c r="E191" s="21" t="s">
        <v>48</v>
      </c>
      <c r="F191" s="21" t="s">
        <v>44</v>
      </c>
      <c r="G191" s="21" t="s">
        <v>49</v>
      </c>
      <c r="H191" s="24" t="n">
        <v>2</v>
      </c>
      <c r="I191" s="24" t="n">
        <v>61440</v>
      </c>
      <c r="J191" s="24" t="n">
        <v>48000</v>
      </c>
      <c r="K191" s="25" t="n">
        <f aca="false">H191*I191</f>
        <v>122880</v>
      </c>
      <c r="L191" s="25" t="n">
        <f aca="false">H191*(I191-J191)</f>
        <v>26880</v>
      </c>
    </row>
    <row r="192" customFormat="false" ht="15" hidden="false" customHeight="false" outlineLevel="0" collapsed="false">
      <c r="A192" s="21" t="s">
        <v>258</v>
      </c>
      <c r="B192" s="22" t="n">
        <v>45873</v>
      </c>
      <c r="C192" s="23" t="n">
        <f aca="false">YEAR(B192)</f>
        <v>2025</v>
      </c>
      <c r="D192" s="23" t="n">
        <f aca="false">MONTH(B192)</f>
        <v>8</v>
      </c>
      <c r="E192" s="21" t="s">
        <v>56</v>
      </c>
      <c r="F192" s="21" t="s">
        <v>44</v>
      </c>
      <c r="G192" s="21" t="s">
        <v>45</v>
      </c>
      <c r="H192" s="24" t="n">
        <v>3</v>
      </c>
      <c r="I192" s="24" t="n">
        <v>4330</v>
      </c>
      <c r="J192" s="24" t="n">
        <v>2800</v>
      </c>
      <c r="K192" s="25" t="n">
        <f aca="false">H192*I192</f>
        <v>12990</v>
      </c>
      <c r="L192" s="25" t="n">
        <f aca="false">H192*(I192-J192)</f>
        <v>4590</v>
      </c>
    </row>
    <row r="193" customFormat="false" ht="15" hidden="false" customHeight="false" outlineLevel="0" collapsed="false">
      <c r="A193" s="21" t="s">
        <v>259</v>
      </c>
      <c r="B193" s="22" t="n">
        <v>45873</v>
      </c>
      <c r="C193" s="23" t="n">
        <f aca="false">YEAR(B193)</f>
        <v>2025</v>
      </c>
      <c r="D193" s="23" t="n">
        <f aca="false">MONTH(B193)</f>
        <v>8</v>
      </c>
      <c r="E193" s="21" t="s">
        <v>48</v>
      </c>
      <c r="F193" s="21" t="s">
        <v>57</v>
      </c>
      <c r="G193" s="21" t="s">
        <v>74</v>
      </c>
      <c r="H193" s="24" t="n">
        <v>75</v>
      </c>
      <c r="I193" s="24" t="n">
        <v>338</v>
      </c>
      <c r="J193" s="24" t="n">
        <v>170</v>
      </c>
      <c r="K193" s="25" t="n">
        <f aca="false">H193*I193</f>
        <v>25350</v>
      </c>
      <c r="L193" s="25" t="n">
        <f aca="false">H193*(I193-J193)</f>
        <v>12600</v>
      </c>
    </row>
    <row r="194" customFormat="false" ht="15" hidden="false" customHeight="false" outlineLevel="0" collapsed="false">
      <c r="A194" s="21" t="s">
        <v>260</v>
      </c>
      <c r="B194" s="22" t="n">
        <v>45875</v>
      </c>
      <c r="C194" s="23" t="n">
        <f aca="false">YEAR(B194)</f>
        <v>2025</v>
      </c>
      <c r="D194" s="23" t="n">
        <f aca="false">MONTH(B194)</f>
        <v>8</v>
      </c>
      <c r="E194" s="21" t="s">
        <v>61</v>
      </c>
      <c r="F194" s="21" t="s">
        <v>62</v>
      </c>
      <c r="G194" s="21" t="s">
        <v>72</v>
      </c>
      <c r="H194" s="24" t="n">
        <v>2</v>
      </c>
      <c r="I194" s="24" t="n">
        <v>7650</v>
      </c>
      <c r="J194" s="24" t="n">
        <v>4800</v>
      </c>
      <c r="K194" s="25" t="n">
        <f aca="false">H194*I194</f>
        <v>15300</v>
      </c>
      <c r="L194" s="25" t="n">
        <f aca="false">H194*(I194-J194)</f>
        <v>5700</v>
      </c>
    </row>
    <row r="195" customFormat="false" ht="15" hidden="false" customHeight="false" outlineLevel="0" collapsed="false">
      <c r="A195" s="21" t="s">
        <v>261</v>
      </c>
      <c r="B195" s="22" t="n">
        <v>45875</v>
      </c>
      <c r="C195" s="23" t="n">
        <f aca="false">YEAR(B195)</f>
        <v>2025</v>
      </c>
      <c r="D195" s="23" t="n">
        <f aca="false">MONTH(B195)</f>
        <v>8</v>
      </c>
      <c r="E195" s="21" t="s">
        <v>61</v>
      </c>
      <c r="F195" s="21" t="s">
        <v>65</v>
      </c>
      <c r="G195" s="21" t="s">
        <v>89</v>
      </c>
      <c r="H195" s="24" t="n">
        <v>15</v>
      </c>
      <c r="I195" s="24" t="n">
        <v>1680</v>
      </c>
      <c r="J195" s="24" t="n">
        <v>500</v>
      </c>
      <c r="K195" s="25" t="n">
        <f aca="false">H195*I195</f>
        <v>25200</v>
      </c>
      <c r="L195" s="25" t="n">
        <f aca="false">H195*(I195-J195)</f>
        <v>17700</v>
      </c>
    </row>
    <row r="196" customFormat="false" ht="15" hidden="false" customHeight="false" outlineLevel="0" collapsed="false">
      <c r="A196" s="21" t="s">
        <v>262</v>
      </c>
      <c r="B196" s="22" t="n">
        <v>45875</v>
      </c>
      <c r="C196" s="23" t="n">
        <f aca="false">YEAR(B196)</f>
        <v>2025</v>
      </c>
      <c r="D196" s="23" t="n">
        <f aca="false">MONTH(B196)</f>
        <v>8</v>
      </c>
      <c r="E196" s="21" t="s">
        <v>43</v>
      </c>
      <c r="F196" s="21" t="s">
        <v>57</v>
      </c>
      <c r="G196" s="21" t="s">
        <v>78</v>
      </c>
      <c r="H196" s="24" t="n">
        <v>15</v>
      </c>
      <c r="I196" s="24" t="n">
        <v>642</v>
      </c>
      <c r="J196" s="24" t="n">
        <v>320</v>
      </c>
      <c r="K196" s="25" t="n">
        <f aca="false">H196*I196</f>
        <v>9630</v>
      </c>
      <c r="L196" s="25" t="n">
        <f aca="false">H196*(I196-J196)</f>
        <v>4830</v>
      </c>
    </row>
    <row r="197" customFormat="false" ht="15" hidden="false" customHeight="false" outlineLevel="0" collapsed="false">
      <c r="A197" s="21" t="s">
        <v>263</v>
      </c>
      <c r="B197" s="22" t="n">
        <v>45876</v>
      </c>
      <c r="C197" s="23" t="n">
        <f aca="false">YEAR(B197)</f>
        <v>2025</v>
      </c>
      <c r="D197" s="23" t="n">
        <f aca="false">MONTH(B197)</f>
        <v>8</v>
      </c>
      <c r="E197" s="21" t="s">
        <v>61</v>
      </c>
      <c r="F197" s="21" t="s">
        <v>44</v>
      </c>
      <c r="G197" s="21" t="s">
        <v>49</v>
      </c>
      <c r="H197" s="24" t="n">
        <v>3</v>
      </c>
      <c r="I197" s="24" t="n">
        <v>62090</v>
      </c>
      <c r="J197" s="24" t="n">
        <v>48000</v>
      </c>
      <c r="K197" s="25" t="n">
        <f aca="false">H197*I197</f>
        <v>186270</v>
      </c>
      <c r="L197" s="25" t="n">
        <f aca="false">H197*(I197-J197)</f>
        <v>42270</v>
      </c>
    </row>
    <row r="198" customFormat="false" ht="15" hidden="false" customHeight="false" outlineLevel="0" collapsed="false">
      <c r="A198" s="21" t="s">
        <v>264</v>
      </c>
      <c r="B198" s="22" t="n">
        <v>45876</v>
      </c>
      <c r="C198" s="23" t="n">
        <f aca="false">YEAR(B198)</f>
        <v>2025</v>
      </c>
      <c r="D198" s="23" t="n">
        <f aca="false">MONTH(B198)</f>
        <v>8</v>
      </c>
      <c r="E198" s="21" t="s">
        <v>43</v>
      </c>
      <c r="F198" s="21" t="s">
        <v>65</v>
      </c>
      <c r="G198" s="21" t="s">
        <v>81</v>
      </c>
      <c r="H198" s="24" t="n">
        <v>10</v>
      </c>
      <c r="I198" s="24" t="n">
        <v>9790</v>
      </c>
      <c r="J198" s="24" t="n">
        <v>2500</v>
      </c>
      <c r="K198" s="25" t="n">
        <f aca="false">H198*I198</f>
        <v>97900</v>
      </c>
      <c r="L198" s="25" t="n">
        <f aca="false">H198*(I198-J198)</f>
        <v>72900</v>
      </c>
    </row>
    <row r="199" customFormat="false" ht="15" hidden="false" customHeight="false" outlineLevel="0" collapsed="false">
      <c r="A199" s="21" t="s">
        <v>265</v>
      </c>
      <c r="B199" s="22" t="n">
        <v>45877</v>
      </c>
      <c r="C199" s="23" t="n">
        <f aca="false">YEAR(B199)</f>
        <v>2025</v>
      </c>
      <c r="D199" s="23" t="n">
        <f aca="false">MONTH(B199)</f>
        <v>8</v>
      </c>
      <c r="E199" s="21" t="s">
        <v>56</v>
      </c>
      <c r="F199" s="21" t="s">
        <v>62</v>
      </c>
      <c r="G199" s="21" t="s">
        <v>72</v>
      </c>
      <c r="H199" s="24" t="n">
        <v>6</v>
      </c>
      <c r="I199" s="24" t="n">
        <v>7360</v>
      </c>
      <c r="J199" s="24" t="n">
        <v>4800</v>
      </c>
      <c r="K199" s="25" t="n">
        <f aca="false">H199*I199</f>
        <v>44160</v>
      </c>
      <c r="L199" s="25" t="n">
        <f aca="false">H199*(I199-J199)</f>
        <v>15360</v>
      </c>
    </row>
    <row r="200" customFormat="false" ht="15" hidden="false" customHeight="false" outlineLevel="0" collapsed="false">
      <c r="A200" s="21" t="s">
        <v>266</v>
      </c>
      <c r="B200" s="22" t="n">
        <v>45877</v>
      </c>
      <c r="C200" s="23" t="n">
        <f aca="false">YEAR(B200)</f>
        <v>2025</v>
      </c>
      <c r="D200" s="23" t="n">
        <f aca="false">MONTH(B200)</f>
        <v>8</v>
      </c>
      <c r="E200" s="21" t="s">
        <v>61</v>
      </c>
      <c r="F200" s="21" t="s">
        <v>57</v>
      </c>
      <c r="G200" s="21" t="s">
        <v>58</v>
      </c>
      <c r="H200" s="24" t="n">
        <v>5</v>
      </c>
      <c r="I200" s="24" t="n">
        <v>1720</v>
      </c>
      <c r="J200" s="24" t="n">
        <v>1250</v>
      </c>
      <c r="K200" s="25" t="n">
        <f aca="false">H200*I200</f>
        <v>8600</v>
      </c>
      <c r="L200" s="25" t="n">
        <f aca="false">H200*(I200-J200)</f>
        <v>2350</v>
      </c>
    </row>
    <row r="201" customFormat="false" ht="15" hidden="false" customHeight="false" outlineLevel="0" collapsed="false">
      <c r="A201" s="21" t="s">
        <v>267</v>
      </c>
      <c r="B201" s="22" t="n">
        <v>45878</v>
      </c>
      <c r="C201" s="23" t="n">
        <f aca="false">YEAR(B201)</f>
        <v>2025</v>
      </c>
      <c r="D201" s="23" t="n">
        <f aca="false">MONTH(B201)</f>
        <v>8</v>
      </c>
      <c r="E201" s="21" t="s">
        <v>76</v>
      </c>
      <c r="F201" s="21" t="s">
        <v>65</v>
      </c>
      <c r="G201" s="21" t="s">
        <v>81</v>
      </c>
      <c r="H201" s="24" t="n">
        <v>20</v>
      </c>
      <c r="I201" s="24" t="n">
        <v>9390</v>
      </c>
      <c r="J201" s="24" t="n">
        <v>2500</v>
      </c>
      <c r="K201" s="25" t="n">
        <f aca="false">H201*I201</f>
        <v>187800</v>
      </c>
      <c r="L201" s="25" t="n">
        <f aca="false">H201*(I201-J201)</f>
        <v>137800</v>
      </c>
    </row>
    <row r="202" customFormat="false" ht="15" hidden="false" customHeight="false" outlineLevel="0" collapsed="false">
      <c r="A202" s="21" t="s">
        <v>268</v>
      </c>
      <c r="B202" s="22" t="n">
        <v>45880</v>
      </c>
      <c r="C202" s="23" t="n">
        <f aca="false">YEAR(B202)</f>
        <v>2025</v>
      </c>
      <c r="D202" s="23" t="n">
        <f aca="false">MONTH(B202)</f>
        <v>8</v>
      </c>
      <c r="E202" s="21" t="s">
        <v>48</v>
      </c>
      <c r="F202" s="21" t="s">
        <v>44</v>
      </c>
      <c r="G202" s="21" t="s">
        <v>45</v>
      </c>
      <c r="H202" s="24" t="n">
        <v>6</v>
      </c>
      <c r="I202" s="24" t="n">
        <v>4250</v>
      </c>
      <c r="J202" s="24" t="n">
        <v>2800</v>
      </c>
      <c r="K202" s="25" t="n">
        <f aca="false">H202*I202</f>
        <v>25500</v>
      </c>
      <c r="L202" s="25" t="n">
        <f aca="false">H202*(I202-J202)</f>
        <v>8700</v>
      </c>
    </row>
    <row r="203" customFormat="false" ht="15" hidden="false" customHeight="false" outlineLevel="0" collapsed="false">
      <c r="A203" s="21" t="s">
        <v>269</v>
      </c>
      <c r="B203" s="22" t="n">
        <v>45882</v>
      </c>
      <c r="C203" s="23" t="n">
        <f aca="false">YEAR(B203)</f>
        <v>2025</v>
      </c>
      <c r="D203" s="23" t="n">
        <f aca="false">MONTH(B203)</f>
        <v>8</v>
      </c>
      <c r="E203" s="21" t="s">
        <v>76</v>
      </c>
      <c r="F203" s="21" t="s">
        <v>44</v>
      </c>
      <c r="G203" s="21" t="s">
        <v>69</v>
      </c>
      <c r="H203" s="24" t="n">
        <v>5</v>
      </c>
      <c r="I203" s="24" t="n">
        <v>20590</v>
      </c>
      <c r="J203" s="24" t="n">
        <v>15500</v>
      </c>
      <c r="K203" s="25" t="n">
        <f aca="false">H203*I203</f>
        <v>102950</v>
      </c>
      <c r="L203" s="25" t="n">
        <f aca="false">H203*(I203-J203)</f>
        <v>25450</v>
      </c>
    </row>
    <row r="204" customFormat="false" ht="15" hidden="false" customHeight="false" outlineLevel="0" collapsed="false">
      <c r="A204" s="21" t="s">
        <v>270</v>
      </c>
      <c r="B204" s="22" t="n">
        <v>45883</v>
      </c>
      <c r="C204" s="23" t="n">
        <f aca="false">YEAR(B204)</f>
        <v>2025</v>
      </c>
      <c r="D204" s="23" t="n">
        <f aca="false">MONTH(B204)</f>
        <v>8</v>
      </c>
      <c r="E204" s="21" t="s">
        <v>61</v>
      </c>
      <c r="F204" s="21" t="s">
        <v>44</v>
      </c>
      <c r="G204" s="21" t="s">
        <v>45</v>
      </c>
      <c r="H204" s="24" t="n">
        <v>11</v>
      </c>
      <c r="I204" s="24" t="n">
        <v>4450</v>
      </c>
      <c r="J204" s="24" t="n">
        <v>2800</v>
      </c>
      <c r="K204" s="25" t="n">
        <f aca="false">H204*I204</f>
        <v>48950</v>
      </c>
      <c r="L204" s="25" t="n">
        <f aca="false">H204*(I204-J204)</f>
        <v>18150</v>
      </c>
    </row>
    <row r="205" customFormat="false" ht="15" hidden="false" customHeight="false" outlineLevel="0" collapsed="false">
      <c r="A205" s="21" t="s">
        <v>271</v>
      </c>
      <c r="B205" s="22" t="n">
        <v>45885</v>
      </c>
      <c r="C205" s="23" t="n">
        <f aca="false">YEAR(B205)</f>
        <v>2025</v>
      </c>
      <c r="D205" s="23" t="n">
        <f aca="false">MONTH(B205)</f>
        <v>8</v>
      </c>
      <c r="E205" s="21" t="s">
        <v>76</v>
      </c>
      <c r="F205" s="21" t="s">
        <v>57</v>
      </c>
      <c r="G205" s="21" t="s">
        <v>58</v>
      </c>
      <c r="H205" s="24" t="n">
        <v>27</v>
      </c>
      <c r="I205" s="24" t="n">
        <v>1700</v>
      </c>
      <c r="J205" s="24" t="n">
        <v>1250</v>
      </c>
      <c r="K205" s="25" t="n">
        <f aca="false">H205*I205</f>
        <v>45900</v>
      </c>
      <c r="L205" s="25" t="n">
        <f aca="false">H205*(I205-J205)</f>
        <v>12150</v>
      </c>
    </row>
    <row r="206" customFormat="false" ht="15" hidden="false" customHeight="false" outlineLevel="0" collapsed="false">
      <c r="A206" s="21" t="s">
        <v>272</v>
      </c>
      <c r="B206" s="22" t="n">
        <v>45889</v>
      </c>
      <c r="C206" s="23" t="n">
        <f aca="false">YEAR(B206)</f>
        <v>2025</v>
      </c>
      <c r="D206" s="23" t="n">
        <f aca="false">MONTH(B206)</f>
        <v>8</v>
      </c>
      <c r="E206" s="21" t="s">
        <v>76</v>
      </c>
      <c r="F206" s="21" t="s">
        <v>62</v>
      </c>
      <c r="G206" s="21" t="s">
        <v>72</v>
      </c>
      <c r="H206" s="24" t="n">
        <v>2</v>
      </c>
      <c r="I206" s="24" t="n">
        <v>7450</v>
      </c>
      <c r="J206" s="24" t="n">
        <v>4800</v>
      </c>
      <c r="K206" s="25" t="n">
        <f aca="false">H206*I206</f>
        <v>14900</v>
      </c>
      <c r="L206" s="25" t="n">
        <f aca="false">H206*(I206-J206)</f>
        <v>5300</v>
      </c>
    </row>
    <row r="207" customFormat="false" ht="15" hidden="false" customHeight="false" outlineLevel="0" collapsed="false">
      <c r="A207" s="21" t="s">
        <v>273</v>
      </c>
      <c r="B207" s="22" t="n">
        <v>45890</v>
      </c>
      <c r="C207" s="23" t="n">
        <f aca="false">YEAR(B207)</f>
        <v>2025</v>
      </c>
      <c r="D207" s="23" t="n">
        <f aca="false">MONTH(B207)</f>
        <v>8</v>
      </c>
      <c r="E207" s="21" t="s">
        <v>56</v>
      </c>
      <c r="F207" s="21" t="s">
        <v>44</v>
      </c>
      <c r="G207" s="21" t="s">
        <v>45</v>
      </c>
      <c r="H207" s="24" t="n">
        <v>10</v>
      </c>
      <c r="I207" s="24" t="n">
        <v>4670</v>
      </c>
      <c r="J207" s="24" t="n">
        <v>2800</v>
      </c>
      <c r="K207" s="25" t="n">
        <f aca="false">H207*I207</f>
        <v>46700</v>
      </c>
      <c r="L207" s="25" t="n">
        <f aca="false">H207*(I207-J207)</f>
        <v>18700</v>
      </c>
    </row>
    <row r="208" customFormat="false" ht="15" hidden="false" customHeight="false" outlineLevel="0" collapsed="false">
      <c r="A208" s="21" t="s">
        <v>274</v>
      </c>
      <c r="B208" s="22" t="n">
        <v>45891</v>
      </c>
      <c r="C208" s="23" t="n">
        <f aca="false">YEAR(B208)</f>
        <v>2025</v>
      </c>
      <c r="D208" s="23" t="n">
        <f aca="false">MONTH(B208)</f>
        <v>8</v>
      </c>
      <c r="E208" s="21" t="s">
        <v>76</v>
      </c>
      <c r="F208" s="21" t="s">
        <v>44</v>
      </c>
      <c r="G208" s="21" t="s">
        <v>49</v>
      </c>
      <c r="H208" s="24" t="n">
        <v>3</v>
      </c>
      <c r="I208" s="24" t="n">
        <v>63020</v>
      </c>
      <c r="J208" s="24" t="n">
        <v>48000</v>
      </c>
      <c r="K208" s="25" t="n">
        <f aca="false">H208*I208</f>
        <v>189060</v>
      </c>
      <c r="L208" s="25" t="n">
        <f aca="false">H208*(I208-J208)</f>
        <v>45060</v>
      </c>
    </row>
    <row r="209" customFormat="false" ht="15" hidden="false" customHeight="false" outlineLevel="0" collapsed="false">
      <c r="A209" s="21" t="s">
        <v>275</v>
      </c>
      <c r="B209" s="22" t="n">
        <v>45892</v>
      </c>
      <c r="C209" s="23" t="n">
        <f aca="false">YEAR(B209)</f>
        <v>2025</v>
      </c>
      <c r="D209" s="23" t="n">
        <f aca="false">MONTH(B209)</f>
        <v>8</v>
      </c>
      <c r="E209" s="21" t="s">
        <v>43</v>
      </c>
      <c r="F209" s="21" t="s">
        <v>57</v>
      </c>
      <c r="G209" s="21" t="s">
        <v>78</v>
      </c>
      <c r="H209" s="24" t="n">
        <v>40</v>
      </c>
      <c r="I209" s="24" t="n">
        <v>620</v>
      </c>
      <c r="J209" s="24" t="n">
        <v>320</v>
      </c>
      <c r="K209" s="25" t="n">
        <f aca="false">H209*I209</f>
        <v>24800</v>
      </c>
      <c r="L209" s="25" t="n">
        <f aca="false">H209*(I209-J209)</f>
        <v>12000</v>
      </c>
    </row>
    <row r="210" customFormat="false" ht="15" hidden="false" customHeight="false" outlineLevel="0" collapsed="false">
      <c r="A210" s="21" t="s">
        <v>276</v>
      </c>
      <c r="B210" s="22" t="n">
        <v>45892</v>
      </c>
      <c r="C210" s="23" t="n">
        <f aca="false">YEAR(B210)</f>
        <v>2025</v>
      </c>
      <c r="D210" s="23" t="n">
        <f aca="false">MONTH(B210)</f>
        <v>8</v>
      </c>
      <c r="E210" s="21" t="s">
        <v>48</v>
      </c>
      <c r="F210" s="21" t="s">
        <v>62</v>
      </c>
      <c r="G210" s="21" t="s">
        <v>63</v>
      </c>
      <c r="H210" s="24" t="n">
        <v>1</v>
      </c>
      <c r="I210" s="24" t="n">
        <v>27140</v>
      </c>
      <c r="J210" s="24" t="n">
        <v>19500</v>
      </c>
      <c r="K210" s="25" t="n">
        <f aca="false">H210*I210</f>
        <v>27140</v>
      </c>
      <c r="L210" s="25" t="n">
        <f aca="false">H210*(I210-J210)</f>
        <v>7640</v>
      </c>
    </row>
    <row r="211" customFormat="false" ht="15" hidden="false" customHeight="false" outlineLevel="0" collapsed="false">
      <c r="A211" s="21" t="s">
        <v>277</v>
      </c>
      <c r="B211" s="22" t="n">
        <v>45892</v>
      </c>
      <c r="C211" s="23" t="n">
        <f aca="false">YEAR(B211)</f>
        <v>2025</v>
      </c>
      <c r="D211" s="23" t="n">
        <f aca="false">MONTH(B211)</f>
        <v>8</v>
      </c>
      <c r="E211" s="21" t="s">
        <v>48</v>
      </c>
      <c r="F211" s="21" t="s">
        <v>44</v>
      </c>
      <c r="G211" s="21" t="s">
        <v>49</v>
      </c>
      <c r="H211" s="24" t="n">
        <v>3</v>
      </c>
      <c r="I211" s="24" t="n">
        <v>61940</v>
      </c>
      <c r="J211" s="24" t="n">
        <v>48000</v>
      </c>
      <c r="K211" s="25" t="n">
        <f aca="false">H211*I211</f>
        <v>185820</v>
      </c>
      <c r="L211" s="25" t="n">
        <f aca="false">H211*(I211-J211)</f>
        <v>41820</v>
      </c>
    </row>
    <row r="212" customFormat="false" ht="15" hidden="false" customHeight="false" outlineLevel="0" collapsed="false">
      <c r="A212" s="21" t="s">
        <v>278</v>
      </c>
      <c r="B212" s="22" t="n">
        <v>45893</v>
      </c>
      <c r="C212" s="23" t="n">
        <f aca="false">YEAR(B212)</f>
        <v>2025</v>
      </c>
      <c r="D212" s="23" t="n">
        <f aca="false">MONTH(B212)</f>
        <v>8</v>
      </c>
      <c r="E212" s="21" t="s">
        <v>56</v>
      </c>
      <c r="F212" s="21" t="s">
        <v>57</v>
      </c>
      <c r="G212" s="21" t="s">
        <v>74</v>
      </c>
      <c r="H212" s="24" t="n">
        <v>52</v>
      </c>
      <c r="I212" s="24" t="n">
        <v>337</v>
      </c>
      <c r="J212" s="24" t="n">
        <v>170</v>
      </c>
      <c r="K212" s="25" t="n">
        <f aca="false">H212*I212</f>
        <v>17524</v>
      </c>
      <c r="L212" s="25" t="n">
        <f aca="false">H212*(I212-J212)</f>
        <v>8684</v>
      </c>
    </row>
    <row r="213" customFormat="false" ht="15" hidden="false" customHeight="false" outlineLevel="0" collapsed="false">
      <c r="A213" s="21" t="s">
        <v>279</v>
      </c>
      <c r="B213" s="22" t="n">
        <v>45895</v>
      </c>
      <c r="C213" s="23" t="n">
        <f aca="false">YEAR(B213)</f>
        <v>2025</v>
      </c>
      <c r="D213" s="23" t="n">
        <f aca="false">MONTH(B213)</f>
        <v>8</v>
      </c>
      <c r="E213" s="21" t="s">
        <v>48</v>
      </c>
      <c r="F213" s="21" t="s">
        <v>62</v>
      </c>
      <c r="G213" s="21" t="s">
        <v>92</v>
      </c>
      <c r="H213" s="24" t="n">
        <v>6</v>
      </c>
      <c r="I213" s="24" t="n">
        <v>13290</v>
      </c>
      <c r="J213" s="24" t="n">
        <v>9000</v>
      </c>
      <c r="K213" s="25" t="n">
        <f aca="false">H213*I213</f>
        <v>79740</v>
      </c>
      <c r="L213" s="25" t="n">
        <f aca="false">H213*(I213-J213)</f>
        <v>25740</v>
      </c>
    </row>
    <row r="214" customFormat="false" ht="15" hidden="false" customHeight="false" outlineLevel="0" collapsed="false">
      <c r="A214" s="21" t="s">
        <v>280</v>
      </c>
      <c r="B214" s="22" t="n">
        <v>45896</v>
      </c>
      <c r="C214" s="23" t="n">
        <f aca="false">YEAR(B214)</f>
        <v>2025</v>
      </c>
      <c r="D214" s="23" t="n">
        <f aca="false">MONTH(B214)</f>
        <v>8</v>
      </c>
      <c r="E214" s="21" t="s">
        <v>48</v>
      </c>
      <c r="F214" s="21" t="s">
        <v>57</v>
      </c>
      <c r="G214" s="21" t="s">
        <v>74</v>
      </c>
      <c r="H214" s="24" t="n">
        <v>71</v>
      </c>
      <c r="I214" s="24" t="n">
        <v>355</v>
      </c>
      <c r="J214" s="24" t="n">
        <v>170</v>
      </c>
      <c r="K214" s="25" t="n">
        <f aca="false">H214*I214</f>
        <v>25205</v>
      </c>
      <c r="L214" s="25" t="n">
        <f aca="false">H214*(I214-J214)</f>
        <v>13135</v>
      </c>
    </row>
    <row r="215" customFormat="false" ht="15" hidden="false" customHeight="false" outlineLevel="0" collapsed="false">
      <c r="A215" s="21" t="s">
        <v>281</v>
      </c>
      <c r="B215" s="22" t="n">
        <v>45897</v>
      </c>
      <c r="C215" s="23" t="n">
        <f aca="false">YEAR(B215)</f>
        <v>2025</v>
      </c>
      <c r="D215" s="23" t="n">
        <f aca="false">MONTH(B215)</f>
        <v>8</v>
      </c>
      <c r="E215" s="21" t="s">
        <v>43</v>
      </c>
      <c r="F215" s="21" t="s">
        <v>65</v>
      </c>
      <c r="G215" s="21" t="s">
        <v>81</v>
      </c>
      <c r="H215" s="24" t="n">
        <v>15</v>
      </c>
      <c r="I215" s="24" t="n">
        <v>8870</v>
      </c>
      <c r="J215" s="24" t="n">
        <v>2500</v>
      </c>
      <c r="K215" s="25" t="n">
        <f aca="false">H215*I215</f>
        <v>133050</v>
      </c>
      <c r="L215" s="25" t="n">
        <f aca="false">H215*(I215-J215)</f>
        <v>95550</v>
      </c>
    </row>
    <row r="216" customFormat="false" ht="15" hidden="false" customHeight="false" outlineLevel="0" collapsed="false">
      <c r="A216" s="21" t="s">
        <v>282</v>
      </c>
      <c r="B216" s="22" t="n">
        <v>45897</v>
      </c>
      <c r="C216" s="23" t="n">
        <f aca="false">YEAR(B216)</f>
        <v>2025</v>
      </c>
      <c r="D216" s="23" t="n">
        <f aca="false">MONTH(B216)</f>
        <v>8</v>
      </c>
      <c r="E216" s="21" t="s">
        <v>56</v>
      </c>
      <c r="F216" s="21" t="s">
        <v>44</v>
      </c>
      <c r="G216" s="21" t="s">
        <v>45</v>
      </c>
      <c r="H216" s="24" t="n">
        <v>2</v>
      </c>
      <c r="I216" s="24" t="n">
        <v>4340</v>
      </c>
      <c r="J216" s="24" t="n">
        <v>2800</v>
      </c>
      <c r="K216" s="25" t="n">
        <f aca="false">H216*I216</f>
        <v>8680</v>
      </c>
      <c r="L216" s="25" t="n">
        <f aca="false">H216*(I216-J216)</f>
        <v>3080</v>
      </c>
    </row>
    <row r="217" customFormat="false" ht="15" hidden="false" customHeight="false" outlineLevel="0" collapsed="false">
      <c r="A217" s="21" t="s">
        <v>283</v>
      </c>
      <c r="B217" s="22" t="n">
        <v>45898</v>
      </c>
      <c r="C217" s="23" t="n">
        <f aca="false">YEAR(B217)</f>
        <v>2025</v>
      </c>
      <c r="D217" s="23" t="n">
        <f aca="false">MONTH(B217)</f>
        <v>8</v>
      </c>
      <c r="E217" s="21" t="s">
        <v>48</v>
      </c>
      <c r="F217" s="21" t="s">
        <v>62</v>
      </c>
      <c r="G217" s="21" t="s">
        <v>92</v>
      </c>
      <c r="H217" s="24" t="n">
        <v>5</v>
      </c>
      <c r="I217" s="24" t="n">
        <v>13750</v>
      </c>
      <c r="J217" s="24" t="n">
        <v>9000</v>
      </c>
      <c r="K217" s="25" t="n">
        <f aca="false">H217*I217</f>
        <v>68750</v>
      </c>
      <c r="L217" s="25" t="n">
        <f aca="false">H217*(I217-J217)</f>
        <v>23750</v>
      </c>
    </row>
    <row r="218" customFormat="false" ht="15" hidden="false" customHeight="false" outlineLevel="0" collapsed="false">
      <c r="A218" s="21" t="s">
        <v>284</v>
      </c>
      <c r="B218" s="22" t="n">
        <v>45900</v>
      </c>
      <c r="C218" s="23" t="n">
        <f aca="false">YEAR(B218)</f>
        <v>2025</v>
      </c>
      <c r="D218" s="23" t="n">
        <f aca="false">MONTH(B218)</f>
        <v>8</v>
      </c>
      <c r="E218" s="21" t="s">
        <v>56</v>
      </c>
      <c r="F218" s="21" t="s">
        <v>44</v>
      </c>
      <c r="G218" s="21" t="s">
        <v>49</v>
      </c>
      <c r="H218" s="24" t="n">
        <v>2</v>
      </c>
      <c r="I218" s="24" t="n">
        <v>60090</v>
      </c>
      <c r="J218" s="24" t="n">
        <v>48000</v>
      </c>
      <c r="K218" s="25" t="n">
        <f aca="false">H218*I218</f>
        <v>120180</v>
      </c>
      <c r="L218" s="25" t="n">
        <f aca="false">H218*(I218-J218)</f>
        <v>24180</v>
      </c>
    </row>
    <row r="219" customFormat="false" ht="15" hidden="false" customHeight="false" outlineLevel="0" collapsed="false">
      <c r="A219" s="21" t="s">
        <v>285</v>
      </c>
      <c r="B219" s="22" t="n">
        <v>45900</v>
      </c>
      <c r="C219" s="23" t="n">
        <f aca="false">YEAR(B219)</f>
        <v>2025</v>
      </c>
      <c r="D219" s="23" t="n">
        <f aca="false">MONTH(B219)</f>
        <v>8</v>
      </c>
      <c r="E219" s="21" t="s">
        <v>56</v>
      </c>
      <c r="F219" s="21" t="s">
        <v>57</v>
      </c>
      <c r="G219" s="21" t="s">
        <v>74</v>
      </c>
      <c r="H219" s="24" t="n">
        <v>52</v>
      </c>
      <c r="I219" s="24" t="n">
        <v>342</v>
      </c>
      <c r="J219" s="24" t="n">
        <v>170</v>
      </c>
      <c r="K219" s="25" t="n">
        <f aca="false">H219*I219</f>
        <v>17784</v>
      </c>
      <c r="L219" s="25" t="n">
        <f aca="false">H219*(I219-J219)</f>
        <v>8944</v>
      </c>
    </row>
    <row r="220" customFormat="false" ht="15" hidden="false" customHeight="false" outlineLevel="0" collapsed="false">
      <c r="A220" s="21" t="s">
        <v>286</v>
      </c>
      <c r="B220" s="22" t="n">
        <v>45901</v>
      </c>
      <c r="C220" s="23" t="n">
        <f aca="false">YEAR(B220)</f>
        <v>2025</v>
      </c>
      <c r="D220" s="23" t="n">
        <f aca="false">MONTH(B220)</f>
        <v>9</v>
      </c>
      <c r="E220" s="21" t="s">
        <v>48</v>
      </c>
      <c r="F220" s="21" t="s">
        <v>65</v>
      </c>
      <c r="G220" s="21" t="s">
        <v>81</v>
      </c>
      <c r="H220" s="24" t="n">
        <v>13</v>
      </c>
      <c r="I220" s="24" t="n">
        <v>9610</v>
      </c>
      <c r="J220" s="24" t="n">
        <v>2500</v>
      </c>
      <c r="K220" s="25" t="n">
        <f aca="false">H220*I220</f>
        <v>124930</v>
      </c>
      <c r="L220" s="25" t="n">
        <f aca="false">H220*(I220-J220)</f>
        <v>92430</v>
      </c>
    </row>
    <row r="221" customFormat="false" ht="15" hidden="false" customHeight="false" outlineLevel="0" collapsed="false">
      <c r="A221" s="21" t="s">
        <v>287</v>
      </c>
      <c r="B221" s="22" t="n">
        <v>45901</v>
      </c>
      <c r="C221" s="23" t="n">
        <f aca="false">YEAR(B221)</f>
        <v>2025</v>
      </c>
      <c r="D221" s="23" t="n">
        <f aca="false">MONTH(B221)</f>
        <v>9</v>
      </c>
      <c r="E221" s="21" t="s">
        <v>48</v>
      </c>
      <c r="F221" s="21" t="s">
        <v>65</v>
      </c>
      <c r="G221" s="21" t="s">
        <v>89</v>
      </c>
      <c r="H221" s="24" t="n">
        <v>7</v>
      </c>
      <c r="I221" s="24" t="n">
        <v>1770</v>
      </c>
      <c r="J221" s="24" t="n">
        <v>500</v>
      </c>
      <c r="K221" s="25" t="n">
        <f aca="false">H221*I221</f>
        <v>12390</v>
      </c>
      <c r="L221" s="25" t="n">
        <f aca="false">H221*(I221-J221)</f>
        <v>8890</v>
      </c>
    </row>
    <row r="222" customFormat="false" ht="15" hidden="false" customHeight="false" outlineLevel="0" collapsed="false">
      <c r="A222" s="21" t="s">
        <v>288</v>
      </c>
      <c r="B222" s="22" t="n">
        <v>45902</v>
      </c>
      <c r="C222" s="23" t="n">
        <f aca="false">YEAR(B222)</f>
        <v>2025</v>
      </c>
      <c r="D222" s="23" t="n">
        <f aca="false">MONTH(B222)</f>
        <v>9</v>
      </c>
      <c r="E222" s="21" t="s">
        <v>61</v>
      </c>
      <c r="F222" s="21" t="s">
        <v>57</v>
      </c>
      <c r="G222" s="21" t="s">
        <v>78</v>
      </c>
      <c r="H222" s="24" t="n">
        <v>43</v>
      </c>
      <c r="I222" s="24" t="n">
        <v>635</v>
      </c>
      <c r="J222" s="24" t="n">
        <v>320</v>
      </c>
      <c r="K222" s="25" t="n">
        <f aca="false">H222*I222</f>
        <v>27305</v>
      </c>
      <c r="L222" s="25" t="n">
        <f aca="false">H222*(I222-J222)</f>
        <v>13545</v>
      </c>
    </row>
    <row r="223" customFormat="false" ht="15" hidden="false" customHeight="false" outlineLevel="0" collapsed="false">
      <c r="A223" s="21" t="s">
        <v>289</v>
      </c>
      <c r="B223" s="22" t="n">
        <v>45902</v>
      </c>
      <c r="C223" s="23" t="n">
        <f aca="false">YEAR(B223)</f>
        <v>2025</v>
      </c>
      <c r="D223" s="23" t="n">
        <f aca="false">MONTH(B223)</f>
        <v>9</v>
      </c>
      <c r="E223" s="21" t="s">
        <v>48</v>
      </c>
      <c r="F223" s="21" t="s">
        <v>44</v>
      </c>
      <c r="G223" s="21" t="s">
        <v>49</v>
      </c>
      <c r="H223" s="24" t="n">
        <v>2</v>
      </c>
      <c r="I223" s="24" t="n">
        <v>61770</v>
      </c>
      <c r="J223" s="24" t="n">
        <v>48000</v>
      </c>
      <c r="K223" s="25" t="n">
        <f aca="false">H223*I223</f>
        <v>123540</v>
      </c>
      <c r="L223" s="25" t="n">
        <f aca="false">H223*(I223-J223)</f>
        <v>27540</v>
      </c>
    </row>
    <row r="224" customFormat="false" ht="15" hidden="false" customHeight="false" outlineLevel="0" collapsed="false">
      <c r="A224" s="21" t="s">
        <v>290</v>
      </c>
      <c r="B224" s="22" t="n">
        <v>45903</v>
      </c>
      <c r="C224" s="23" t="n">
        <f aca="false">YEAR(B224)</f>
        <v>2025</v>
      </c>
      <c r="D224" s="23" t="n">
        <f aca="false">MONTH(B224)</f>
        <v>9</v>
      </c>
      <c r="E224" s="21" t="s">
        <v>76</v>
      </c>
      <c r="F224" s="21" t="s">
        <v>65</v>
      </c>
      <c r="G224" s="21" t="s">
        <v>81</v>
      </c>
      <c r="H224" s="24" t="n">
        <v>11</v>
      </c>
      <c r="I224" s="24" t="n">
        <v>8940</v>
      </c>
      <c r="J224" s="24" t="n">
        <v>2500</v>
      </c>
      <c r="K224" s="25" t="n">
        <f aca="false">H224*I224</f>
        <v>98340</v>
      </c>
      <c r="L224" s="25" t="n">
        <f aca="false">H224*(I224-J224)</f>
        <v>70840</v>
      </c>
    </row>
    <row r="225" customFormat="false" ht="15" hidden="false" customHeight="false" outlineLevel="0" collapsed="false">
      <c r="A225" s="21" t="s">
        <v>291</v>
      </c>
      <c r="B225" s="22" t="n">
        <v>45905</v>
      </c>
      <c r="C225" s="23" t="n">
        <f aca="false">YEAR(B225)</f>
        <v>2025</v>
      </c>
      <c r="D225" s="23" t="n">
        <f aca="false">MONTH(B225)</f>
        <v>9</v>
      </c>
      <c r="E225" s="21" t="s">
        <v>48</v>
      </c>
      <c r="F225" s="21" t="s">
        <v>62</v>
      </c>
      <c r="G225" s="21" t="s">
        <v>92</v>
      </c>
      <c r="H225" s="24" t="n">
        <v>4</v>
      </c>
      <c r="I225" s="24" t="n">
        <v>13950</v>
      </c>
      <c r="J225" s="24" t="n">
        <v>9000</v>
      </c>
      <c r="K225" s="25" t="n">
        <f aca="false">H225*I225</f>
        <v>55800</v>
      </c>
      <c r="L225" s="25" t="n">
        <f aca="false">H225*(I225-J225)</f>
        <v>19800</v>
      </c>
    </row>
    <row r="226" customFormat="false" ht="15" hidden="false" customHeight="false" outlineLevel="0" collapsed="false">
      <c r="A226" s="21" t="s">
        <v>292</v>
      </c>
      <c r="B226" s="22" t="n">
        <v>45907</v>
      </c>
      <c r="C226" s="23" t="n">
        <f aca="false">YEAR(B226)</f>
        <v>2025</v>
      </c>
      <c r="D226" s="23" t="n">
        <f aca="false">MONTH(B226)</f>
        <v>9</v>
      </c>
      <c r="E226" s="21" t="s">
        <v>56</v>
      </c>
      <c r="F226" s="21" t="s">
        <v>62</v>
      </c>
      <c r="G226" s="21" t="s">
        <v>63</v>
      </c>
      <c r="H226" s="24" t="n">
        <v>3</v>
      </c>
      <c r="I226" s="24" t="n">
        <v>27420</v>
      </c>
      <c r="J226" s="24" t="n">
        <v>19500</v>
      </c>
      <c r="K226" s="25" t="n">
        <f aca="false">H226*I226</f>
        <v>82260</v>
      </c>
      <c r="L226" s="25" t="n">
        <f aca="false">H226*(I226-J226)</f>
        <v>23760</v>
      </c>
    </row>
    <row r="227" customFormat="false" ht="15" hidden="false" customHeight="false" outlineLevel="0" collapsed="false">
      <c r="A227" s="21" t="s">
        <v>293</v>
      </c>
      <c r="B227" s="22" t="n">
        <v>45909</v>
      </c>
      <c r="C227" s="23" t="n">
        <f aca="false">YEAR(B227)</f>
        <v>2025</v>
      </c>
      <c r="D227" s="23" t="n">
        <f aca="false">MONTH(B227)</f>
        <v>9</v>
      </c>
      <c r="E227" s="21" t="s">
        <v>61</v>
      </c>
      <c r="F227" s="21" t="s">
        <v>57</v>
      </c>
      <c r="G227" s="21" t="s">
        <v>74</v>
      </c>
      <c r="H227" s="24" t="n">
        <v>65</v>
      </c>
      <c r="I227" s="24" t="n">
        <v>342</v>
      </c>
      <c r="J227" s="24" t="n">
        <v>170</v>
      </c>
      <c r="K227" s="25" t="n">
        <f aca="false">H227*I227</f>
        <v>22230</v>
      </c>
      <c r="L227" s="25" t="n">
        <f aca="false">H227*(I227-J227)</f>
        <v>11180</v>
      </c>
    </row>
    <row r="228" customFormat="false" ht="15" hidden="false" customHeight="false" outlineLevel="0" collapsed="false">
      <c r="A228" s="21" t="s">
        <v>294</v>
      </c>
      <c r="B228" s="22" t="n">
        <v>45910</v>
      </c>
      <c r="C228" s="23" t="n">
        <f aca="false">YEAR(B228)</f>
        <v>2025</v>
      </c>
      <c r="D228" s="23" t="n">
        <f aca="false">MONTH(B228)</f>
        <v>9</v>
      </c>
      <c r="E228" s="21" t="s">
        <v>61</v>
      </c>
      <c r="F228" s="21" t="s">
        <v>65</v>
      </c>
      <c r="G228" s="21" t="s">
        <v>66</v>
      </c>
      <c r="H228" s="24" t="n">
        <v>4</v>
      </c>
      <c r="I228" s="24" t="n">
        <v>4820</v>
      </c>
      <c r="J228" s="24" t="n">
        <v>1900</v>
      </c>
      <c r="K228" s="25" t="n">
        <f aca="false">H228*I228</f>
        <v>19280</v>
      </c>
      <c r="L228" s="25" t="n">
        <f aca="false">H228*(I228-J228)</f>
        <v>11680</v>
      </c>
    </row>
    <row r="229" customFormat="false" ht="15" hidden="false" customHeight="false" outlineLevel="0" collapsed="false">
      <c r="A229" s="21" t="s">
        <v>295</v>
      </c>
      <c r="B229" s="22" t="n">
        <v>45911</v>
      </c>
      <c r="C229" s="23" t="n">
        <f aca="false">YEAR(B229)</f>
        <v>2025</v>
      </c>
      <c r="D229" s="23" t="n">
        <f aca="false">MONTH(B229)</f>
        <v>9</v>
      </c>
      <c r="E229" s="21" t="s">
        <v>76</v>
      </c>
      <c r="F229" s="21" t="s">
        <v>62</v>
      </c>
      <c r="G229" s="21" t="s">
        <v>63</v>
      </c>
      <c r="H229" s="24" t="n">
        <v>2</v>
      </c>
      <c r="I229" s="24" t="n">
        <v>28970</v>
      </c>
      <c r="J229" s="24" t="n">
        <v>19500</v>
      </c>
      <c r="K229" s="25" t="n">
        <f aca="false">H229*I229</f>
        <v>57940</v>
      </c>
      <c r="L229" s="25" t="n">
        <f aca="false">H229*(I229-J229)</f>
        <v>18940</v>
      </c>
    </row>
    <row r="230" customFormat="false" ht="15" hidden="false" customHeight="false" outlineLevel="0" collapsed="false">
      <c r="A230" s="21" t="s">
        <v>296</v>
      </c>
      <c r="B230" s="22" t="n">
        <v>45911</v>
      </c>
      <c r="C230" s="23" t="n">
        <f aca="false">YEAR(B230)</f>
        <v>2025</v>
      </c>
      <c r="D230" s="23" t="n">
        <f aca="false">MONTH(B230)</f>
        <v>9</v>
      </c>
      <c r="E230" s="21" t="s">
        <v>76</v>
      </c>
      <c r="F230" s="21" t="s">
        <v>44</v>
      </c>
      <c r="G230" s="21" t="s">
        <v>45</v>
      </c>
      <c r="H230" s="24" t="n">
        <v>9</v>
      </c>
      <c r="I230" s="24" t="n">
        <v>4200</v>
      </c>
      <c r="J230" s="24" t="n">
        <v>2800</v>
      </c>
      <c r="K230" s="25" t="n">
        <f aca="false">H230*I230</f>
        <v>37800</v>
      </c>
      <c r="L230" s="25" t="n">
        <f aca="false">H230*(I230-J230)</f>
        <v>12600</v>
      </c>
    </row>
    <row r="231" customFormat="false" ht="15" hidden="false" customHeight="false" outlineLevel="0" collapsed="false">
      <c r="A231" s="21" t="s">
        <v>297</v>
      </c>
      <c r="B231" s="22" t="n">
        <v>45912</v>
      </c>
      <c r="C231" s="23" t="n">
        <f aca="false">YEAR(B231)</f>
        <v>2025</v>
      </c>
      <c r="D231" s="23" t="n">
        <f aca="false">MONTH(B231)</f>
        <v>9</v>
      </c>
      <c r="E231" s="21" t="s">
        <v>56</v>
      </c>
      <c r="F231" s="21" t="s">
        <v>44</v>
      </c>
      <c r="G231" s="21" t="s">
        <v>49</v>
      </c>
      <c r="H231" s="24" t="n">
        <v>2</v>
      </c>
      <c r="I231" s="24" t="n">
        <v>60130</v>
      </c>
      <c r="J231" s="24" t="n">
        <v>48000</v>
      </c>
      <c r="K231" s="25" t="n">
        <f aca="false">H231*I231</f>
        <v>120260</v>
      </c>
      <c r="L231" s="25" t="n">
        <f aca="false">H231*(I231-J231)</f>
        <v>24260</v>
      </c>
    </row>
    <row r="232" customFormat="false" ht="15" hidden="false" customHeight="false" outlineLevel="0" collapsed="false">
      <c r="A232" s="21" t="s">
        <v>298</v>
      </c>
      <c r="B232" s="22" t="n">
        <v>45914</v>
      </c>
      <c r="C232" s="23" t="n">
        <f aca="false">YEAR(B232)</f>
        <v>2025</v>
      </c>
      <c r="D232" s="23" t="n">
        <f aca="false">MONTH(B232)</f>
        <v>9</v>
      </c>
      <c r="E232" s="21" t="s">
        <v>43</v>
      </c>
      <c r="F232" s="21" t="s">
        <v>65</v>
      </c>
      <c r="G232" s="21" t="s">
        <v>66</v>
      </c>
      <c r="H232" s="24" t="n">
        <v>6</v>
      </c>
      <c r="I232" s="24" t="n">
        <v>4820</v>
      </c>
      <c r="J232" s="24" t="n">
        <v>1900</v>
      </c>
      <c r="K232" s="25" t="n">
        <f aca="false">H232*I232</f>
        <v>28920</v>
      </c>
      <c r="L232" s="25" t="n">
        <f aca="false">H232*(I232-J232)</f>
        <v>17520</v>
      </c>
    </row>
    <row r="233" customFormat="false" ht="15" hidden="false" customHeight="false" outlineLevel="0" collapsed="false">
      <c r="A233" s="21" t="s">
        <v>299</v>
      </c>
      <c r="B233" s="22" t="n">
        <v>45915</v>
      </c>
      <c r="C233" s="23" t="n">
        <f aca="false">YEAR(B233)</f>
        <v>2025</v>
      </c>
      <c r="D233" s="23" t="n">
        <f aca="false">MONTH(B233)</f>
        <v>9</v>
      </c>
      <c r="E233" s="21" t="s">
        <v>48</v>
      </c>
      <c r="F233" s="21" t="s">
        <v>65</v>
      </c>
      <c r="G233" s="21" t="s">
        <v>66</v>
      </c>
      <c r="H233" s="24" t="n">
        <v>4</v>
      </c>
      <c r="I233" s="24" t="n">
        <v>4770</v>
      </c>
      <c r="J233" s="24" t="n">
        <v>1900</v>
      </c>
      <c r="K233" s="25" t="n">
        <f aca="false">H233*I233</f>
        <v>19080</v>
      </c>
      <c r="L233" s="25" t="n">
        <f aca="false">H233*(I233-J233)</f>
        <v>11480</v>
      </c>
    </row>
    <row r="234" customFormat="false" ht="15" hidden="false" customHeight="false" outlineLevel="0" collapsed="false">
      <c r="A234" s="21" t="s">
        <v>300</v>
      </c>
      <c r="B234" s="22" t="n">
        <v>45915</v>
      </c>
      <c r="C234" s="23" t="n">
        <f aca="false">YEAR(B234)</f>
        <v>2025</v>
      </c>
      <c r="D234" s="23" t="n">
        <f aca="false">MONTH(B234)</f>
        <v>9</v>
      </c>
      <c r="E234" s="21" t="s">
        <v>48</v>
      </c>
      <c r="F234" s="21" t="s">
        <v>57</v>
      </c>
      <c r="G234" s="21" t="s">
        <v>78</v>
      </c>
      <c r="H234" s="24" t="n">
        <v>51</v>
      </c>
      <c r="I234" s="24" t="n">
        <v>636</v>
      </c>
      <c r="J234" s="24" t="n">
        <v>320</v>
      </c>
      <c r="K234" s="25" t="n">
        <f aca="false">H234*I234</f>
        <v>32436</v>
      </c>
      <c r="L234" s="25" t="n">
        <f aca="false">H234*(I234-J234)</f>
        <v>16116</v>
      </c>
    </row>
    <row r="235" customFormat="false" ht="15" hidden="false" customHeight="false" outlineLevel="0" collapsed="false">
      <c r="A235" s="21" t="s">
        <v>301</v>
      </c>
      <c r="B235" s="22" t="n">
        <v>45916</v>
      </c>
      <c r="C235" s="23" t="n">
        <f aca="false">YEAR(B235)</f>
        <v>2025</v>
      </c>
      <c r="D235" s="23" t="n">
        <f aca="false">MONTH(B235)</f>
        <v>9</v>
      </c>
      <c r="E235" s="21" t="s">
        <v>43</v>
      </c>
      <c r="F235" s="21" t="s">
        <v>65</v>
      </c>
      <c r="G235" s="21" t="s">
        <v>66</v>
      </c>
      <c r="H235" s="24" t="n">
        <v>7</v>
      </c>
      <c r="I235" s="24" t="n">
        <v>4730</v>
      </c>
      <c r="J235" s="24" t="n">
        <v>1900</v>
      </c>
      <c r="K235" s="25" t="n">
        <f aca="false">H235*I235</f>
        <v>33110</v>
      </c>
      <c r="L235" s="25" t="n">
        <f aca="false">H235*(I235-J235)</f>
        <v>19810</v>
      </c>
    </row>
    <row r="236" customFormat="false" ht="15" hidden="false" customHeight="false" outlineLevel="0" collapsed="false">
      <c r="A236" s="21" t="s">
        <v>302</v>
      </c>
      <c r="B236" s="22" t="n">
        <v>45917</v>
      </c>
      <c r="C236" s="23" t="n">
        <f aca="false">YEAR(B236)</f>
        <v>2025</v>
      </c>
      <c r="D236" s="23" t="n">
        <f aca="false">MONTH(B236)</f>
        <v>9</v>
      </c>
      <c r="E236" s="21" t="s">
        <v>76</v>
      </c>
      <c r="F236" s="21" t="s">
        <v>62</v>
      </c>
      <c r="G236" s="21" t="s">
        <v>63</v>
      </c>
      <c r="H236" s="24" t="n">
        <v>3</v>
      </c>
      <c r="I236" s="24" t="n">
        <v>28430</v>
      </c>
      <c r="J236" s="24" t="n">
        <v>19500</v>
      </c>
      <c r="K236" s="25" t="n">
        <f aca="false">H236*I236</f>
        <v>85290</v>
      </c>
      <c r="L236" s="25" t="n">
        <f aca="false">H236*(I236-J236)</f>
        <v>26790</v>
      </c>
    </row>
    <row r="237" customFormat="false" ht="15" hidden="false" customHeight="false" outlineLevel="0" collapsed="false">
      <c r="A237" s="21" t="s">
        <v>303</v>
      </c>
      <c r="B237" s="22" t="n">
        <v>45917</v>
      </c>
      <c r="C237" s="23" t="n">
        <f aca="false">YEAR(B237)</f>
        <v>2025</v>
      </c>
      <c r="D237" s="23" t="n">
        <f aca="false">MONTH(B237)</f>
        <v>9</v>
      </c>
      <c r="E237" s="21" t="s">
        <v>43</v>
      </c>
      <c r="F237" s="21" t="s">
        <v>57</v>
      </c>
      <c r="G237" s="21" t="s">
        <v>74</v>
      </c>
      <c r="H237" s="24" t="n">
        <v>46</v>
      </c>
      <c r="I237" s="24" t="n">
        <v>357</v>
      </c>
      <c r="J237" s="24" t="n">
        <v>170</v>
      </c>
      <c r="K237" s="25" t="n">
        <f aca="false">H237*I237</f>
        <v>16422</v>
      </c>
      <c r="L237" s="25" t="n">
        <f aca="false">H237*(I237-J237)</f>
        <v>8602</v>
      </c>
    </row>
    <row r="238" customFormat="false" ht="15" hidden="false" customHeight="false" outlineLevel="0" collapsed="false">
      <c r="A238" s="21" t="s">
        <v>304</v>
      </c>
      <c r="B238" s="22" t="n">
        <v>45917</v>
      </c>
      <c r="C238" s="23" t="n">
        <f aca="false">YEAR(B238)</f>
        <v>2025</v>
      </c>
      <c r="D238" s="23" t="n">
        <f aca="false">MONTH(B238)</f>
        <v>9</v>
      </c>
      <c r="E238" s="21" t="s">
        <v>43</v>
      </c>
      <c r="F238" s="21" t="s">
        <v>65</v>
      </c>
      <c r="G238" s="21" t="s">
        <v>66</v>
      </c>
      <c r="H238" s="24" t="n">
        <v>6</v>
      </c>
      <c r="I238" s="24" t="n">
        <v>4910</v>
      </c>
      <c r="J238" s="24" t="n">
        <v>1900</v>
      </c>
      <c r="K238" s="25" t="n">
        <f aca="false">H238*I238</f>
        <v>29460</v>
      </c>
      <c r="L238" s="25" t="n">
        <f aca="false">H238*(I238-J238)</f>
        <v>18060</v>
      </c>
    </row>
    <row r="239" customFormat="false" ht="15" hidden="false" customHeight="false" outlineLevel="0" collapsed="false">
      <c r="A239" s="21" t="s">
        <v>305</v>
      </c>
      <c r="B239" s="22" t="n">
        <v>45918</v>
      </c>
      <c r="C239" s="23" t="n">
        <f aca="false">YEAR(B239)</f>
        <v>2025</v>
      </c>
      <c r="D239" s="23" t="n">
        <f aca="false">MONTH(B239)</f>
        <v>9</v>
      </c>
      <c r="E239" s="21" t="s">
        <v>61</v>
      </c>
      <c r="F239" s="21" t="s">
        <v>62</v>
      </c>
      <c r="G239" s="21" t="s">
        <v>72</v>
      </c>
      <c r="H239" s="24" t="n">
        <v>4</v>
      </c>
      <c r="I239" s="24" t="n">
        <v>7800</v>
      </c>
      <c r="J239" s="24" t="n">
        <v>4800</v>
      </c>
      <c r="K239" s="25" t="n">
        <f aca="false">H239*I239</f>
        <v>31200</v>
      </c>
      <c r="L239" s="25" t="n">
        <f aca="false">H239*(I239-J239)</f>
        <v>12000</v>
      </c>
    </row>
    <row r="240" customFormat="false" ht="15" hidden="false" customHeight="false" outlineLevel="0" collapsed="false">
      <c r="A240" s="21" t="s">
        <v>306</v>
      </c>
      <c r="B240" s="22" t="n">
        <v>45921</v>
      </c>
      <c r="C240" s="23" t="n">
        <f aca="false">YEAR(B240)</f>
        <v>2025</v>
      </c>
      <c r="D240" s="23" t="n">
        <f aca="false">MONTH(B240)</f>
        <v>9</v>
      </c>
      <c r="E240" s="21" t="s">
        <v>61</v>
      </c>
      <c r="F240" s="21" t="s">
        <v>65</v>
      </c>
      <c r="G240" s="21" t="s">
        <v>81</v>
      </c>
      <c r="H240" s="24" t="n">
        <v>11</v>
      </c>
      <c r="I240" s="24" t="n">
        <v>9530</v>
      </c>
      <c r="J240" s="24" t="n">
        <v>2500</v>
      </c>
      <c r="K240" s="25" t="n">
        <f aca="false">H240*I240</f>
        <v>104830</v>
      </c>
      <c r="L240" s="25" t="n">
        <f aca="false">H240*(I240-J240)</f>
        <v>77330</v>
      </c>
    </row>
    <row r="241" customFormat="false" ht="15" hidden="false" customHeight="false" outlineLevel="0" collapsed="false">
      <c r="A241" s="21" t="s">
        <v>307</v>
      </c>
      <c r="B241" s="22" t="n">
        <v>45923</v>
      </c>
      <c r="C241" s="23" t="n">
        <f aca="false">YEAR(B241)</f>
        <v>2025</v>
      </c>
      <c r="D241" s="23" t="n">
        <f aca="false">MONTH(B241)</f>
        <v>9</v>
      </c>
      <c r="E241" s="21" t="s">
        <v>76</v>
      </c>
      <c r="F241" s="21" t="s">
        <v>57</v>
      </c>
      <c r="G241" s="21" t="s">
        <v>74</v>
      </c>
      <c r="H241" s="24" t="n">
        <v>47</v>
      </c>
      <c r="I241" s="24" t="n">
        <v>364</v>
      </c>
      <c r="J241" s="24" t="n">
        <v>170</v>
      </c>
      <c r="K241" s="25" t="n">
        <f aca="false">H241*I241</f>
        <v>17108</v>
      </c>
      <c r="L241" s="25" t="n">
        <f aca="false">H241*(I241-J241)</f>
        <v>9118</v>
      </c>
    </row>
    <row r="242" customFormat="false" ht="15" hidden="false" customHeight="false" outlineLevel="0" collapsed="false">
      <c r="A242" s="21" t="s">
        <v>308</v>
      </c>
      <c r="B242" s="22" t="n">
        <v>45924</v>
      </c>
      <c r="C242" s="23" t="n">
        <f aca="false">YEAR(B242)</f>
        <v>2025</v>
      </c>
      <c r="D242" s="23" t="n">
        <f aca="false">MONTH(B242)</f>
        <v>9</v>
      </c>
      <c r="E242" s="21" t="s">
        <v>56</v>
      </c>
      <c r="F242" s="21" t="s">
        <v>65</v>
      </c>
      <c r="G242" s="21" t="s">
        <v>81</v>
      </c>
      <c r="H242" s="24" t="n">
        <v>6</v>
      </c>
      <c r="I242" s="24" t="n">
        <v>9660</v>
      </c>
      <c r="J242" s="24" t="n">
        <v>2500</v>
      </c>
      <c r="K242" s="25" t="n">
        <f aca="false">H242*I242</f>
        <v>57960</v>
      </c>
      <c r="L242" s="25" t="n">
        <f aca="false">H242*(I242-J242)</f>
        <v>42960</v>
      </c>
    </row>
    <row r="243" customFormat="false" ht="15" hidden="false" customHeight="false" outlineLevel="0" collapsed="false">
      <c r="A243" s="21" t="s">
        <v>309</v>
      </c>
      <c r="B243" s="22" t="n">
        <v>45931</v>
      </c>
      <c r="C243" s="23" t="n">
        <f aca="false">YEAR(B243)</f>
        <v>2025</v>
      </c>
      <c r="D243" s="23" t="n">
        <f aca="false">MONTH(B243)</f>
        <v>10</v>
      </c>
      <c r="E243" s="21" t="s">
        <v>43</v>
      </c>
      <c r="F243" s="21" t="s">
        <v>57</v>
      </c>
      <c r="G243" s="21" t="s">
        <v>78</v>
      </c>
      <c r="H243" s="24" t="n">
        <v>22</v>
      </c>
      <c r="I243" s="24" t="n">
        <v>669</v>
      </c>
      <c r="J243" s="24" t="n">
        <v>320</v>
      </c>
      <c r="K243" s="25" t="n">
        <f aca="false">H243*I243</f>
        <v>14718</v>
      </c>
      <c r="L243" s="25" t="n">
        <f aca="false">H243*(I243-J243)</f>
        <v>7678</v>
      </c>
    </row>
    <row r="244" customFormat="false" ht="15" hidden="false" customHeight="false" outlineLevel="0" collapsed="false">
      <c r="A244" s="21" t="s">
        <v>310</v>
      </c>
      <c r="B244" s="22" t="n">
        <v>45932</v>
      </c>
      <c r="C244" s="23" t="n">
        <f aca="false">YEAR(B244)</f>
        <v>2025</v>
      </c>
      <c r="D244" s="23" t="n">
        <f aca="false">MONTH(B244)</f>
        <v>10</v>
      </c>
      <c r="E244" s="21" t="s">
        <v>48</v>
      </c>
      <c r="F244" s="21" t="s">
        <v>44</v>
      </c>
      <c r="G244" s="21" t="s">
        <v>69</v>
      </c>
      <c r="H244" s="24" t="n">
        <v>3</v>
      </c>
      <c r="I244" s="24" t="n">
        <v>20810</v>
      </c>
      <c r="J244" s="24" t="n">
        <v>15500</v>
      </c>
      <c r="K244" s="25" t="n">
        <f aca="false">H244*I244</f>
        <v>62430</v>
      </c>
      <c r="L244" s="25" t="n">
        <f aca="false">H244*(I244-J244)</f>
        <v>15930</v>
      </c>
    </row>
    <row r="245" customFormat="false" ht="15" hidden="false" customHeight="false" outlineLevel="0" collapsed="false">
      <c r="A245" s="21" t="s">
        <v>311</v>
      </c>
      <c r="B245" s="22" t="n">
        <v>45934</v>
      </c>
      <c r="C245" s="23" t="n">
        <f aca="false">YEAR(B245)</f>
        <v>2025</v>
      </c>
      <c r="D245" s="23" t="n">
        <f aca="false">MONTH(B245)</f>
        <v>10</v>
      </c>
      <c r="E245" s="21" t="s">
        <v>56</v>
      </c>
      <c r="F245" s="21" t="s">
        <v>62</v>
      </c>
      <c r="G245" s="21" t="s">
        <v>92</v>
      </c>
      <c r="H245" s="24" t="n">
        <v>5</v>
      </c>
      <c r="I245" s="24" t="n">
        <v>13220</v>
      </c>
      <c r="J245" s="24" t="n">
        <v>9000</v>
      </c>
      <c r="K245" s="25" t="n">
        <f aca="false">H245*I245</f>
        <v>66100</v>
      </c>
      <c r="L245" s="25" t="n">
        <f aca="false">H245*(I245-J245)</f>
        <v>21100</v>
      </c>
    </row>
    <row r="246" customFormat="false" ht="15" hidden="false" customHeight="false" outlineLevel="0" collapsed="false">
      <c r="A246" s="21" t="s">
        <v>312</v>
      </c>
      <c r="B246" s="22" t="n">
        <v>45934</v>
      </c>
      <c r="C246" s="23" t="n">
        <f aca="false">YEAR(B246)</f>
        <v>2025</v>
      </c>
      <c r="D246" s="23" t="n">
        <f aca="false">MONTH(B246)</f>
        <v>10</v>
      </c>
      <c r="E246" s="21" t="s">
        <v>43</v>
      </c>
      <c r="F246" s="21" t="s">
        <v>65</v>
      </c>
      <c r="G246" s="21" t="s">
        <v>89</v>
      </c>
      <c r="H246" s="24" t="n">
        <v>14</v>
      </c>
      <c r="I246" s="24" t="n">
        <v>1870</v>
      </c>
      <c r="J246" s="24" t="n">
        <v>500</v>
      </c>
      <c r="K246" s="25" t="n">
        <f aca="false">H246*I246</f>
        <v>26180</v>
      </c>
      <c r="L246" s="25" t="n">
        <f aca="false">H246*(I246-J246)</f>
        <v>19180</v>
      </c>
    </row>
    <row r="247" customFormat="false" ht="15" hidden="false" customHeight="false" outlineLevel="0" collapsed="false">
      <c r="A247" s="21" t="s">
        <v>313</v>
      </c>
      <c r="B247" s="22" t="n">
        <v>45935</v>
      </c>
      <c r="C247" s="23" t="n">
        <f aca="false">YEAR(B247)</f>
        <v>2025</v>
      </c>
      <c r="D247" s="23" t="n">
        <f aca="false">MONTH(B247)</f>
        <v>10</v>
      </c>
      <c r="E247" s="21" t="s">
        <v>76</v>
      </c>
      <c r="F247" s="21" t="s">
        <v>57</v>
      </c>
      <c r="G247" s="21" t="s">
        <v>74</v>
      </c>
      <c r="H247" s="24" t="n">
        <v>62</v>
      </c>
      <c r="I247" s="24" t="n">
        <v>361</v>
      </c>
      <c r="J247" s="24" t="n">
        <v>170</v>
      </c>
      <c r="K247" s="25" t="n">
        <f aca="false">H247*I247</f>
        <v>22382</v>
      </c>
      <c r="L247" s="25" t="n">
        <f aca="false">H247*(I247-J247)</f>
        <v>11842</v>
      </c>
    </row>
    <row r="248" customFormat="false" ht="15" hidden="false" customHeight="false" outlineLevel="0" collapsed="false">
      <c r="A248" s="21" t="s">
        <v>314</v>
      </c>
      <c r="B248" s="22" t="n">
        <v>45939</v>
      </c>
      <c r="C248" s="23" t="n">
        <f aca="false">YEAR(B248)</f>
        <v>2025</v>
      </c>
      <c r="D248" s="23" t="n">
        <f aca="false">MONTH(B248)</f>
        <v>10</v>
      </c>
      <c r="E248" s="21" t="s">
        <v>61</v>
      </c>
      <c r="F248" s="21" t="s">
        <v>44</v>
      </c>
      <c r="G248" s="21" t="s">
        <v>49</v>
      </c>
      <c r="H248" s="24" t="n">
        <v>3</v>
      </c>
      <c r="I248" s="24" t="n">
        <v>58170</v>
      </c>
      <c r="J248" s="24" t="n">
        <v>48000</v>
      </c>
      <c r="K248" s="25" t="n">
        <f aca="false">H248*I248</f>
        <v>174510</v>
      </c>
      <c r="L248" s="25" t="n">
        <f aca="false">H248*(I248-J248)</f>
        <v>30510</v>
      </c>
    </row>
    <row r="249" customFormat="false" ht="15" hidden="false" customHeight="false" outlineLevel="0" collapsed="false">
      <c r="A249" s="21" t="s">
        <v>315</v>
      </c>
      <c r="B249" s="22" t="n">
        <v>45939</v>
      </c>
      <c r="C249" s="23" t="n">
        <f aca="false">YEAR(B249)</f>
        <v>2025</v>
      </c>
      <c r="D249" s="23" t="n">
        <f aca="false">MONTH(B249)</f>
        <v>10</v>
      </c>
      <c r="E249" s="21" t="s">
        <v>76</v>
      </c>
      <c r="F249" s="21" t="s">
        <v>62</v>
      </c>
      <c r="G249" s="21" t="s">
        <v>72</v>
      </c>
      <c r="H249" s="24" t="n">
        <v>2</v>
      </c>
      <c r="I249" s="24" t="n">
        <v>7700</v>
      </c>
      <c r="J249" s="24" t="n">
        <v>4800</v>
      </c>
      <c r="K249" s="25" t="n">
        <f aca="false">H249*I249</f>
        <v>15400</v>
      </c>
      <c r="L249" s="25" t="n">
        <f aca="false">H249*(I249-J249)</f>
        <v>5800</v>
      </c>
    </row>
    <row r="250" customFormat="false" ht="15" hidden="false" customHeight="false" outlineLevel="0" collapsed="false">
      <c r="A250" s="21" t="s">
        <v>316</v>
      </c>
      <c r="B250" s="22" t="n">
        <v>45939</v>
      </c>
      <c r="C250" s="23" t="n">
        <f aca="false">YEAR(B250)</f>
        <v>2025</v>
      </c>
      <c r="D250" s="23" t="n">
        <f aca="false">MONTH(B250)</f>
        <v>10</v>
      </c>
      <c r="E250" s="21" t="s">
        <v>76</v>
      </c>
      <c r="F250" s="21" t="s">
        <v>57</v>
      </c>
      <c r="G250" s="21" t="s">
        <v>74</v>
      </c>
      <c r="H250" s="24" t="n">
        <v>33</v>
      </c>
      <c r="I250" s="24" t="n">
        <v>359</v>
      </c>
      <c r="J250" s="24" t="n">
        <v>170</v>
      </c>
      <c r="K250" s="25" t="n">
        <f aca="false">H250*I250</f>
        <v>11847</v>
      </c>
      <c r="L250" s="25" t="n">
        <f aca="false">H250*(I250-J250)</f>
        <v>6237</v>
      </c>
    </row>
    <row r="251" customFormat="false" ht="15" hidden="false" customHeight="false" outlineLevel="0" collapsed="false">
      <c r="A251" s="21" t="s">
        <v>317</v>
      </c>
      <c r="B251" s="22" t="n">
        <v>45939</v>
      </c>
      <c r="C251" s="23" t="n">
        <f aca="false">YEAR(B251)</f>
        <v>2025</v>
      </c>
      <c r="D251" s="23" t="n">
        <f aca="false">MONTH(B251)</f>
        <v>10</v>
      </c>
      <c r="E251" s="21" t="s">
        <v>76</v>
      </c>
      <c r="F251" s="21" t="s">
        <v>44</v>
      </c>
      <c r="G251" s="21" t="s">
        <v>45</v>
      </c>
      <c r="H251" s="24" t="n">
        <v>2</v>
      </c>
      <c r="I251" s="24" t="n">
        <v>4600</v>
      </c>
      <c r="J251" s="24" t="n">
        <v>2800</v>
      </c>
      <c r="K251" s="25" t="n">
        <f aca="false">H251*I251</f>
        <v>9200</v>
      </c>
      <c r="L251" s="25" t="n">
        <f aca="false">H251*(I251-J251)</f>
        <v>3600</v>
      </c>
    </row>
    <row r="252" customFormat="false" ht="15" hidden="false" customHeight="false" outlineLevel="0" collapsed="false">
      <c r="A252" s="21" t="s">
        <v>318</v>
      </c>
      <c r="B252" s="22" t="n">
        <v>45939</v>
      </c>
      <c r="C252" s="23" t="n">
        <f aca="false">YEAR(B252)</f>
        <v>2025</v>
      </c>
      <c r="D252" s="23" t="n">
        <f aca="false">MONTH(B252)</f>
        <v>10</v>
      </c>
      <c r="E252" s="21" t="s">
        <v>48</v>
      </c>
      <c r="F252" s="21" t="s">
        <v>57</v>
      </c>
      <c r="G252" s="21" t="s">
        <v>78</v>
      </c>
      <c r="H252" s="24" t="n">
        <v>20</v>
      </c>
      <c r="I252" s="24" t="n">
        <v>638</v>
      </c>
      <c r="J252" s="24" t="n">
        <v>320</v>
      </c>
      <c r="K252" s="25" t="n">
        <f aca="false">H252*I252</f>
        <v>12760</v>
      </c>
      <c r="L252" s="25" t="n">
        <f aca="false">H252*(I252-J252)</f>
        <v>6360</v>
      </c>
    </row>
    <row r="253" customFormat="false" ht="15" hidden="false" customHeight="false" outlineLevel="0" collapsed="false">
      <c r="A253" s="21" t="s">
        <v>319</v>
      </c>
      <c r="B253" s="22" t="n">
        <v>45939</v>
      </c>
      <c r="C253" s="23" t="n">
        <f aca="false">YEAR(B253)</f>
        <v>2025</v>
      </c>
      <c r="D253" s="23" t="n">
        <f aca="false">MONTH(B253)</f>
        <v>10</v>
      </c>
      <c r="E253" s="21" t="s">
        <v>48</v>
      </c>
      <c r="F253" s="21" t="s">
        <v>57</v>
      </c>
      <c r="G253" s="21" t="s">
        <v>74</v>
      </c>
      <c r="H253" s="24" t="n">
        <v>76</v>
      </c>
      <c r="I253" s="24" t="n">
        <v>364</v>
      </c>
      <c r="J253" s="24" t="n">
        <v>170</v>
      </c>
      <c r="K253" s="25" t="n">
        <f aca="false">H253*I253</f>
        <v>27664</v>
      </c>
      <c r="L253" s="25" t="n">
        <f aca="false">H253*(I253-J253)</f>
        <v>14744</v>
      </c>
    </row>
    <row r="254" customFormat="false" ht="15" hidden="false" customHeight="false" outlineLevel="0" collapsed="false">
      <c r="A254" s="21" t="s">
        <v>320</v>
      </c>
      <c r="B254" s="22" t="n">
        <v>45940</v>
      </c>
      <c r="C254" s="23" t="n">
        <f aca="false">YEAR(B254)</f>
        <v>2025</v>
      </c>
      <c r="D254" s="23" t="n">
        <f aca="false">MONTH(B254)</f>
        <v>10</v>
      </c>
      <c r="E254" s="21" t="s">
        <v>48</v>
      </c>
      <c r="F254" s="21" t="s">
        <v>65</v>
      </c>
      <c r="G254" s="21" t="s">
        <v>81</v>
      </c>
      <c r="H254" s="24" t="n">
        <v>18</v>
      </c>
      <c r="I254" s="24" t="n">
        <v>9120</v>
      </c>
      <c r="J254" s="24" t="n">
        <v>2500</v>
      </c>
      <c r="K254" s="25" t="n">
        <f aca="false">H254*I254</f>
        <v>164160</v>
      </c>
      <c r="L254" s="25" t="n">
        <f aca="false">H254*(I254-J254)</f>
        <v>119160</v>
      </c>
    </row>
    <row r="255" customFormat="false" ht="15" hidden="false" customHeight="false" outlineLevel="0" collapsed="false">
      <c r="A255" s="21" t="s">
        <v>321</v>
      </c>
      <c r="B255" s="22" t="n">
        <v>45940</v>
      </c>
      <c r="C255" s="23" t="n">
        <f aca="false">YEAR(B255)</f>
        <v>2025</v>
      </c>
      <c r="D255" s="23" t="n">
        <f aca="false">MONTH(B255)</f>
        <v>10</v>
      </c>
      <c r="E255" s="21" t="s">
        <v>76</v>
      </c>
      <c r="F255" s="21" t="s">
        <v>57</v>
      </c>
      <c r="G255" s="21" t="s">
        <v>58</v>
      </c>
      <c r="H255" s="24" t="n">
        <v>7</v>
      </c>
      <c r="I255" s="24" t="n">
        <v>1770</v>
      </c>
      <c r="J255" s="24" t="n">
        <v>1250</v>
      </c>
      <c r="K255" s="25" t="n">
        <f aca="false">H255*I255</f>
        <v>12390</v>
      </c>
      <c r="L255" s="25" t="n">
        <f aca="false">H255*(I255-J255)</f>
        <v>3640</v>
      </c>
    </row>
    <row r="256" customFormat="false" ht="15" hidden="false" customHeight="false" outlineLevel="0" collapsed="false">
      <c r="A256" s="21" t="s">
        <v>322</v>
      </c>
      <c r="B256" s="22" t="n">
        <v>45942</v>
      </c>
      <c r="C256" s="23" t="n">
        <f aca="false">YEAR(B256)</f>
        <v>2025</v>
      </c>
      <c r="D256" s="23" t="n">
        <f aca="false">MONTH(B256)</f>
        <v>10</v>
      </c>
      <c r="E256" s="21" t="s">
        <v>61</v>
      </c>
      <c r="F256" s="21" t="s">
        <v>44</v>
      </c>
      <c r="G256" s="21" t="s">
        <v>45</v>
      </c>
      <c r="H256" s="24" t="n">
        <v>4</v>
      </c>
      <c r="I256" s="24" t="n">
        <v>4270</v>
      </c>
      <c r="J256" s="24" t="n">
        <v>2800</v>
      </c>
      <c r="K256" s="25" t="n">
        <f aca="false">H256*I256</f>
        <v>17080</v>
      </c>
      <c r="L256" s="25" t="n">
        <f aca="false">H256*(I256-J256)</f>
        <v>5880</v>
      </c>
    </row>
    <row r="257" customFormat="false" ht="15" hidden="false" customHeight="false" outlineLevel="0" collapsed="false">
      <c r="A257" s="21" t="s">
        <v>323</v>
      </c>
      <c r="B257" s="22" t="n">
        <v>45947</v>
      </c>
      <c r="C257" s="23" t="n">
        <f aca="false">YEAR(B257)</f>
        <v>2025</v>
      </c>
      <c r="D257" s="23" t="n">
        <f aca="false">MONTH(B257)</f>
        <v>10</v>
      </c>
      <c r="E257" s="21" t="s">
        <v>61</v>
      </c>
      <c r="F257" s="21" t="s">
        <v>57</v>
      </c>
      <c r="G257" s="21" t="s">
        <v>58</v>
      </c>
      <c r="H257" s="24" t="n">
        <v>15</v>
      </c>
      <c r="I257" s="24" t="n">
        <v>1840</v>
      </c>
      <c r="J257" s="24" t="n">
        <v>1250</v>
      </c>
      <c r="K257" s="25" t="n">
        <f aca="false">H257*I257</f>
        <v>27600</v>
      </c>
      <c r="L257" s="25" t="n">
        <f aca="false">H257*(I257-J257)</f>
        <v>8850</v>
      </c>
    </row>
    <row r="258" customFormat="false" ht="15" hidden="false" customHeight="false" outlineLevel="0" collapsed="false">
      <c r="A258" s="21" t="s">
        <v>324</v>
      </c>
      <c r="B258" s="22" t="n">
        <v>45948</v>
      </c>
      <c r="C258" s="23" t="n">
        <f aca="false">YEAR(B258)</f>
        <v>2025</v>
      </c>
      <c r="D258" s="23" t="n">
        <f aca="false">MONTH(B258)</f>
        <v>10</v>
      </c>
      <c r="E258" s="21" t="s">
        <v>56</v>
      </c>
      <c r="F258" s="21" t="s">
        <v>57</v>
      </c>
      <c r="G258" s="21" t="s">
        <v>78</v>
      </c>
      <c r="H258" s="24" t="n">
        <v>11</v>
      </c>
      <c r="I258" s="24" t="n">
        <v>623</v>
      </c>
      <c r="J258" s="24" t="n">
        <v>320</v>
      </c>
      <c r="K258" s="25" t="n">
        <f aca="false">H258*I258</f>
        <v>6853</v>
      </c>
      <c r="L258" s="25" t="n">
        <f aca="false">H258*(I258-J258)</f>
        <v>3333</v>
      </c>
    </row>
    <row r="259" customFormat="false" ht="15" hidden="false" customHeight="false" outlineLevel="0" collapsed="false">
      <c r="A259" s="21" t="s">
        <v>325</v>
      </c>
      <c r="B259" s="22" t="n">
        <v>45948</v>
      </c>
      <c r="C259" s="23" t="n">
        <f aca="false">YEAR(B259)</f>
        <v>2025</v>
      </c>
      <c r="D259" s="23" t="n">
        <f aca="false">MONTH(B259)</f>
        <v>10</v>
      </c>
      <c r="E259" s="21" t="s">
        <v>56</v>
      </c>
      <c r="F259" s="21" t="s">
        <v>65</v>
      </c>
      <c r="G259" s="21" t="s">
        <v>66</v>
      </c>
      <c r="H259" s="24" t="n">
        <v>10</v>
      </c>
      <c r="I259" s="24" t="n">
        <v>4810</v>
      </c>
      <c r="J259" s="24" t="n">
        <v>1900</v>
      </c>
      <c r="K259" s="25" t="n">
        <f aca="false">H259*I259</f>
        <v>48100</v>
      </c>
      <c r="L259" s="25" t="n">
        <f aca="false">H259*(I259-J259)</f>
        <v>29100</v>
      </c>
    </row>
    <row r="260" customFormat="false" ht="15" hidden="false" customHeight="false" outlineLevel="0" collapsed="false">
      <c r="A260" s="21" t="s">
        <v>326</v>
      </c>
      <c r="B260" s="22" t="n">
        <v>45948</v>
      </c>
      <c r="C260" s="23" t="n">
        <f aca="false">YEAR(B260)</f>
        <v>2025</v>
      </c>
      <c r="D260" s="23" t="n">
        <f aca="false">MONTH(B260)</f>
        <v>10</v>
      </c>
      <c r="E260" s="21" t="s">
        <v>48</v>
      </c>
      <c r="F260" s="21" t="s">
        <v>57</v>
      </c>
      <c r="G260" s="21" t="s">
        <v>74</v>
      </c>
      <c r="H260" s="24" t="n">
        <v>13</v>
      </c>
      <c r="I260" s="24" t="n">
        <v>350</v>
      </c>
      <c r="J260" s="24" t="n">
        <v>170</v>
      </c>
      <c r="K260" s="25" t="n">
        <f aca="false">H260*I260</f>
        <v>4550</v>
      </c>
      <c r="L260" s="25" t="n">
        <f aca="false">H260*(I260-J260)</f>
        <v>2340</v>
      </c>
    </row>
    <row r="261" customFormat="false" ht="15" hidden="false" customHeight="false" outlineLevel="0" collapsed="false">
      <c r="A261" s="21" t="s">
        <v>327</v>
      </c>
      <c r="B261" s="22" t="n">
        <v>45950</v>
      </c>
      <c r="C261" s="23" t="n">
        <f aca="false">YEAR(B261)</f>
        <v>2025</v>
      </c>
      <c r="D261" s="23" t="n">
        <f aca="false">MONTH(B261)</f>
        <v>10</v>
      </c>
      <c r="E261" s="21" t="s">
        <v>48</v>
      </c>
      <c r="F261" s="21" t="s">
        <v>57</v>
      </c>
      <c r="G261" s="21" t="s">
        <v>58</v>
      </c>
      <c r="H261" s="24" t="n">
        <v>14</v>
      </c>
      <c r="I261" s="24" t="n">
        <v>1770</v>
      </c>
      <c r="J261" s="24" t="n">
        <v>1250</v>
      </c>
      <c r="K261" s="25" t="n">
        <f aca="false">H261*I261</f>
        <v>24780</v>
      </c>
      <c r="L261" s="25" t="n">
        <f aca="false">H261*(I261-J261)</f>
        <v>7280</v>
      </c>
    </row>
    <row r="262" customFormat="false" ht="15" hidden="false" customHeight="false" outlineLevel="0" collapsed="false">
      <c r="A262" s="21" t="s">
        <v>328</v>
      </c>
      <c r="B262" s="22" t="n">
        <v>45950</v>
      </c>
      <c r="C262" s="23" t="n">
        <f aca="false">YEAR(B262)</f>
        <v>2025</v>
      </c>
      <c r="D262" s="23" t="n">
        <f aca="false">MONTH(B262)</f>
        <v>10</v>
      </c>
      <c r="E262" s="21" t="s">
        <v>56</v>
      </c>
      <c r="F262" s="21" t="s">
        <v>65</v>
      </c>
      <c r="G262" s="21" t="s">
        <v>81</v>
      </c>
      <c r="H262" s="24" t="n">
        <v>10</v>
      </c>
      <c r="I262" s="24" t="n">
        <v>9310</v>
      </c>
      <c r="J262" s="24" t="n">
        <v>2500</v>
      </c>
      <c r="K262" s="25" t="n">
        <f aca="false">H262*I262</f>
        <v>93100</v>
      </c>
      <c r="L262" s="25" t="n">
        <f aca="false">H262*(I262-J262)</f>
        <v>68100</v>
      </c>
    </row>
    <row r="263" customFormat="false" ht="15" hidden="false" customHeight="false" outlineLevel="0" collapsed="false">
      <c r="A263" s="21" t="s">
        <v>329</v>
      </c>
      <c r="B263" s="22" t="n">
        <v>45951</v>
      </c>
      <c r="C263" s="23" t="n">
        <f aca="false">YEAR(B263)</f>
        <v>2025</v>
      </c>
      <c r="D263" s="23" t="n">
        <f aca="false">MONTH(B263)</f>
        <v>10</v>
      </c>
      <c r="E263" s="21" t="s">
        <v>43</v>
      </c>
      <c r="F263" s="21" t="s">
        <v>57</v>
      </c>
      <c r="G263" s="21" t="s">
        <v>58</v>
      </c>
      <c r="H263" s="24" t="n">
        <v>18</v>
      </c>
      <c r="I263" s="24" t="n">
        <v>1770</v>
      </c>
      <c r="J263" s="24" t="n">
        <v>1250</v>
      </c>
      <c r="K263" s="25" t="n">
        <f aca="false">H263*I263</f>
        <v>31860</v>
      </c>
      <c r="L263" s="25" t="n">
        <f aca="false">H263*(I263-J263)</f>
        <v>9360</v>
      </c>
    </row>
    <row r="264" customFormat="false" ht="15" hidden="false" customHeight="false" outlineLevel="0" collapsed="false">
      <c r="A264" s="21" t="s">
        <v>330</v>
      </c>
      <c r="B264" s="22" t="n">
        <v>45951</v>
      </c>
      <c r="C264" s="23" t="n">
        <f aca="false">YEAR(B264)</f>
        <v>2025</v>
      </c>
      <c r="D264" s="23" t="n">
        <f aca="false">MONTH(B264)</f>
        <v>10</v>
      </c>
      <c r="E264" s="21" t="s">
        <v>76</v>
      </c>
      <c r="F264" s="21" t="s">
        <v>44</v>
      </c>
      <c r="G264" s="21" t="s">
        <v>45</v>
      </c>
      <c r="H264" s="24" t="n">
        <v>7</v>
      </c>
      <c r="I264" s="24" t="n">
        <v>4610</v>
      </c>
      <c r="J264" s="24" t="n">
        <v>2800</v>
      </c>
      <c r="K264" s="25" t="n">
        <f aca="false">H264*I264</f>
        <v>32270</v>
      </c>
      <c r="L264" s="25" t="n">
        <f aca="false">H264*(I264-J264)</f>
        <v>12670</v>
      </c>
    </row>
    <row r="265" customFormat="false" ht="15" hidden="false" customHeight="false" outlineLevel="0" collapsed="false">
      <c r="A265" s="21" t="s">
        <v>331</v>
      </c>
      <c r="B265" s="22" t="n">
        <v>45951</v>
      </c>
      <c r="C265" s="23" t="n">
        <f aca="false">YEAR(B265)</f>
        <v>2025</v>
      </c>
      <c r="D265" s="23" t="n">
        <f aca="false">MONTH(B265)</f>
        <v>10</v>
      </c>
      <c r="E265" s="21" t="s">
        <v>61</v>
      </c>
      <c r="F265" s="21" t="s">
        <v>62</v>
      </c>
      <c r="G265" s="21" t="s">
        <v>92</v>
      </c>
      <c r="H265" s="24" t="n">
        <v>3</v>
      </c>
      <c r="I265" s="24" t="n">
        <v>14520</v>
      </c>
      <c r="J265" s="24" t="n">
        <v>9000</v>
      </c>
      <c r="K265" s="25" t="n">
        <f aca="false">H265*I265</f>
        <v>43560</v>
      </c>
      <c r="L265" s="25" t="n">
        <f aca="false">H265*(I265-J265)</f>
        <v>16560</v>
      </c>
    </row>
    <row r="266" customFormat="false" ht="15" hidden="false" customHeight="false" outlineLevel="0" collapsed="false">
      <c r="A266" s="21" t="s">
        <v>332</v>
      </c>
      <c r="B266" s="22" t="n">
        <v>45952</v>
      </c>
      <c r="C266" s="23" t="n">
        <f aca="false">YEAR(B266)</f>
        <v>2025</v>
      </c>
      <c r="D266" s="23" t="n">
        <f aca="false">MONTH(B266)</f>
        <v>10</v>
      </c>
      <c r="E266" s="21" t="s">
        <v>48</v>
      </c>
      <c r="F266" s="21" t="s">
        <v>44</v>
      </c>
      <c r="G266" s="21" t="s">
        <v>45</v>
      </c>
      <c r="H266" s="24" t="n">
        <v>10</v>
      </c>
      <c r="I266" s="24" t="n">
        <v>4240</v>
      </c>
      <c r="J266" s="24" t="n">
        <v>2800</v>
      </c>
      <c r="K266" s="25" t="n">
        <f aca="false">H266*I266</f>
        <v>42400</v>
      </c>
      <c r="L266" s="25" t="n">
        <f aca="false">H266*(I266-J266)</f>
        <v>14400</v>
      </c>
    </row>
    <row r="267" customFormat="false" ht="15" hidden="false" customHeight="false" outlineLevel="0" collapsed="false">
      <c r="A267" s="21" t="s">
        <v>333</v>
      </c>
      <c r="B267" s="22" t="n">
        <v>45953</v>
      </c>
      <c r="C267" s="23" t="n">
        <f aca="false">YEAR(B267)</f>
        <v>2025</v>
      </c>
      <c r="D267" s="23" t="n">
        <f aca="false">MONTH(B267)</f>
        <v>10</v>
      </c>
      <c r="E267" s="21" t="s">
        <v>43</v>
      </c>
      <c r="F267" s="21" t="s">
        <v>44</v>
      </c>
      <c r="G267" s="21" t="s">
        <v>69</v>
      </c>
      <c r="H267" s="24" t="n">
        <v>4</v>
      </c>
      <c r="I267" s="24" t="n">
        <v>20100</v>
      </c>
      <c r="J267" s="24" t="n">
        <v>15500</v>
      </c>
      <c r="K267" s="25" t="n">
        <f aca="false">H267*I267</f>
        <v>80400</v>
      </c>
      <c r="L267" s="25" t="n">
        <f aca="false">H267*(I267-J267)</f>
        <v>18400</v>
      </c>
    </row>
    <row r="268" customFormat="false" ht="15" hidden="false" customHeight="false" outlineLevel="0" collapsed="false">
      <c r="A268" s="21" t="s">
        <v>334</v>
      </c>
      <c r="B268" s="22" t="n">
        <v>45954</v>
      </c>
      <c r="C268" s="23" t="n">
        <f aca="false">YEAR(B268)</f>
        <v>2025</v>
      </c>
      <c r="D268" s="23" t="n">
        <f aca="false">MONTH(B268)</f>
        <v>10</v>
      </c>
      <c r="E268" s="21" t="s">
        <v>48</v>
      </c>
      <c r="F268" s="21" t="s">
        <v>44</v>
      </c>
      <c r="G268" s="21" t="s">
        <v>45</v>
      </c>
      <c r="H268" s="24" t="n">
        <v>8</v>
      </c>
      <c r="I268" s="24" t="n">
        <v>4610</v>
      </c>
      <c r="J268" s="24" t="n">
        <v>2800</v>
      </c>
      <c r="K268" s="25" t="n">
        <f aca="false">H268*I268</f>
        <v>36880</v>
      </c>
      <c r="L268" s="25" t="n">
        <f aca="false">H268*(I268-J268)</f>
        <v>14480</v>
      </c>
    </row>
    <row r="269" customFormat="false" ht="15" hidden="false" customHeight="false" outlineLevel="0" collapsed="false">
      <c r="A269" s="21" t="s">
        <v>335</v>
      </c>
      <c r="B269" s="22" t="n">
        <v>45954</v>
      </c>
      <c r="C269" s="23" t="n">
        <f aca="false">YEAR(B269)</f>
        <v>2025</v>
      </c>
      <c r="D269" s="23" t="n">
        <f aca="false">MONTH(B269)</f>
        <v>10</v>
      </c>
      <c r="E269" s="21" t="s">
        <v>61</v>
      </c>
      <c r="F269" s="21" t="s">
        <v>62</v>
      </c>
      <c r="G269" s="21" t="s">
        <v>63</v>
      </c>
      <c r="H269" s="24" t="n">
        <v>2</v>
      </c>
      <c r="I269" s="24" t="n">
        <v>28550</v>
      </c>
      <c r="J269" s="24" t="n">
        <v>19500</v>
      </c>
      <c r="K269" s="25" t="n">
        <f aca="false">H269*I269</f>
        <v>57100</v>
      </c>
      <c r="L269" s="25" t="n">
        <f aca="false">H269*(I269-J269)</f>
        <v>18100</v>
      </c>
    </row>
    <row r="270" customFormat="false" ht="15" hidden="false" customHeight="false" outlineLevel="0" collapsed="false">
      <c r="A270" s="21" t="s">
        <v>336</v>
      </c>
      <c r="B270" s="22" t="n">
        <v>45957</v>
      </c>
      <c r="C270" s="23" t="n">
        <f aca="false">YEAR(B270)</f>
        <v>2025</v>
      </c>
      <c r="D270" s="23" t="n">
        <f aca="false">MONTH(B270)</f>
        <v>10</v>
      </c>
      <c r="E270" s="21" t="s">
        <v>56</v>
      </c>
      <c r="F270" s="21" t="s">
        <v>65</v>
      </c>
      <c r="G270" s="21" t="s">
        <v>66</v>
      </c>
      <c r="H270" s="24" t="n">
        <v>8</v>
      </c>
      <c r="I270" s="24" t="n">
        <v>4870</v>
      </c>
      <c r="J270" s="24" t="n">
        <v>1900</v>
      </c>
      <c r="K270" s="25" t="n">
        <f aca="false">H270*I270</f>
        <v>38960</v>
      </c>
      <c r="L270" s="25" t="n">
        <f aca="false">H270*(I270-J270)</f>
        <v>23760</v>
      </c>
    </row>
    <row r="271" customFormat="false" ht="15" hidden="false" customHeight="false" outlineLevel="0" collapsed="false">
      <c r="A271" s="21" t="s">
        <v>337</v>
      </c>
      <c r="B271" s="22" t="n">
        <v>45958</v>
      </c>
      <c r="C271" s="23" t="n">
        <f aca="false">YEAR(B271)</f>
        <v>2025</v>
      </c>
      <c r="D271" s="23" t="n">
        <f aca="false">MONTH(B271)</f>
        <v>10</v>
      </c>
      <c r="E271" s="21" t="s">
        <v>76</v>
      </c>
      <c r="F271" s="21" t="s">
        <v>57</v>
      </c>
      <c r="G271" s="21" t="s">
        <v>78</v>
      </c>
      <c r="H271" s="24" t="n">
        <v>41</v>
      </c>
      <c r="I271" s="24" t="n">
        <v>675</v>
      </c>
      <c r="J271" s="24" t="n">
        <v>320</v>
      </c>
      <c r="K271" s="25" t="n">
        <f aca="false">H271*I271</f>
        <v>27675</v>
      </c>
      <c r="L271" s="25" t="n">
        <f aca="false">H271*(I271-J271)</f>
        <v>14555</v>
      </c>
    </row>
    <row r="272" customFormat="false" ht="15" hidden="false" customHeight="false" outlineLevel="0" collapsed="false">
      <c r="A272" s="21" t="s">
        <v>338</v>
      </c>
      <c r="B272" s="22" t="n">
        <v>45960</v>
      </c>
      <c r="C272" s="23" t="n">
        <f aca="false">YEAR(B272)</f>
        <v>2025</v>
      </c>
      <c r="D272" s="23" t="n">
        <f aca="false">MONTH(B272)</f>
        <v>10</v>
      </c>
      <c r="E272" s="21" t="s">
        <v>43</v>
      </c>
      <c r="F272" s="21" t="s">
        <v>57</v>
      </c>
      <c r="G272" s="21" t="s">
        <v>78</v>
      </c>
      <c r="H272" s="24" t="n">
        <v>35</v>
      </c>
      <c r="I272" s="24" t="n">
        <v>650</v>
      </c>
      <c r="J272" s="24" t="n">
        <v>320</v>
      </c>
      <c r="K272" s="25" t="n">
        <f aca="false">H272*I272</f>
        <v>22750</v>
      </c>
      <c r="L272" s="25" t="n">
        <f aca="false">H272*(I272-J272)</f>
        <v>11550</v>
      </c>
    </row>
    <row r="273" customFormat="false" ht="15" hidden="false" customHeight="false" outlineLevel="0" collapsed="false">
      <c r="A273" s="21" t="s">
        <v>339</v>
      </c>
      <c r="B273" s="22" t="n">
        <v>45960</v>
      </c>
      <c r="C273" s="23" t="n">
        <f aca="false">YEAR(B273)</f>
        <v>2025</v>
      </c>
      <c r="D273" s="23" t="n">
        <f aca="false">MONTH(B273)</f>
        <v>10</v>
      </c>
      <c r="E273" s="21" t="s">
        <v>43</v>
      </c>
      <c r="F273" s="21" t="s">
        <v>65</v>
      </c>
      <c r="G273" s="21" t="s">
        <v>66</v>
      </c>
      <c r="H273" s="24" t="n">
        <v>13</v>
      </c>
      <c r="I273" s="24" t="n">
        <v>4490</v>
      </c>
      <c r="J273" s="24" t="n">
        <v>1900</v>
      </c>
      <c r="K273" s="25" t="n">
        <f aca="false">H273*I273</f>
        <v>58370</v>
      </c>
      <c r="L273" s="25" t="n">
        <f aca="false">H273*(I273-J273)</f>
        <v>33670</v>
      </c>
    </row>
    <row r="274" customFormat="false" ht="15" hidden="false" customHeight="false" outlineLevel="0" collapsed="false">
      <c r="A274" s="21" t="s">
        <v>340</v>
      </c>
      <c r="B274" s="22" t="n">
        <v>45960</v>
      </c>
      <c r="C274" s="23" t="n">
        <f aca="false">YEAR(B274)</f>
        <v>2025</v>
      </c>
      <c r="D274" s="23" t="n">
        <f aca="false">MONTH(B274)</f>
        <v>10</v>
      </c>
      <c r="E274" s="21" t="s">
        <v>76</v>
      </c>
      <c r="F274" s="21" t="s">
        <v>44</v>
      </c>
      <c r="G274" s="21" t="s">
        <v>69</v>
      </c>
      <c r="H274" s="24" t="n">
        <v>4</v>
      </c>
      <c r="I274" s="24" t="n">
        <v>20190</v>
      </c>
      <c r="J274" s="24" t="n">
        <v>15500</v>
      </c>
      <c r="K274" s="25" t="n">
        <f aca="false">H274*I274</f>
        <v>80760</v>
      </c>
      <c r="L274" s="25" t="n">
        <f aca="false">H274*(I274-J274)</f>
        <v>18760</v>
      </c>
    </row>
    <row r="275" customFormat="false" ht="15" hidden="false" customHeight="false" outlineLevel="0" collapsed="false">
      <c r="A275" s="21" t="s">
        <v>341</v>
      </c>
      <c r="B275" s="22" t="n">
        <v>45961</v>
      </c>
      <c r="C275" s="23" t="n">
        <f aca="false">YEAR(B275)</f>
        <v>2025</v>
      </c>
      <c r="D275" s="23" t="n">
        <f aca="false">MONTH(B275)</f>
        <v>10</v>
      </c>
      <c r="E275" s="21" t="s">
        <v>43</v>
      </c>
      <c r="F275" s="21" t="s">
        <v>44</v>
      </c>
      <c r="G275" s="21" t="s">
        <v>49</v>
      </c>
      <c r="H275" s="24" t="n">
        <v>1</v>
      </c>
      <c r="I275" s="24" t="n">
        <v>63680</v>
      </c>
      <c r="J275" s="24" t="n">
        <v>48000</v>
      </c>
      <c r="K275" s="25" t="n">
        <f aca="false">H275*I275</f>
        <v>63680</v>
      </c>
      <c r="L275" s="25" t="n">
        <f aca="false">H275*(I275-J275)</f>
        <v>15680</v>
      </c>
    </row>
    <row r="276" customFormat="false" ht="15" hidden="false" customHeight="false" outlineLevel="0" collapsed="false">
      <c r="A276" s="21" t="s">
        <v>342</v>
      </c>
      <c r="B276" s="22" t="n">
        <v>45961</v>
      </c>
      <c r="C276" s="23" t="n">
        <f aca="false">YEAR(B276)</f>
        <v>2025</v>
      </c>
      <c r="D276" s="23" t="n">
        <f aca="false">MONTH(B276)</f>
        <v>10</v>
      </c>
      <c r="E276" s="21" t="s">
        <v>56</v>
      </c>
      <c r="F276" s="21" t="s">
        <v>57</v>
      </c>
      <c r="G276" s="21" t="s">
        <v>74</v>
      </c>
      <c r="H276" s="24" t="n">
        <v>56</v>
      </c>
      <c r="I276" s="24" t="n">
        <v>334</v>
      </c>
      <c r="J276" s="24" t="n">
        <v>170</v>
      </c>
      <c r="K276" s="25" t="n">
        <f aca="false">H276*I276</f>
        <v>18704</v>
      </c>
      <c r="L276" s="25" t="n">
        <f aca="false">H276*(I276-J276)</f>
        <v>9184</v>
      </c>
    </row>
    <row r="277" customFormat="false" ht="15" hidden="false" customHeight="false" outlineLevel="0" collapsed="false">
      <c r="A277" s="21" t="s">
        <v>343</v>
      </c>
      <c r="B277" s="22" t="n">
        <v>45961</v>
      </c>
      <c r="C277" s="23" t="n">
        <f aca="false">YEAR(B277)</f>
        <v>2025</v>
      </c>
      <c r="D277" s="23" t="n">
        <f aca="false">MONTH(B277)</f>
        <v>10</v>
      </c>
      <c r="E277" s="21" t="s">
        <v>76</v>
      </c>
      <c r="F277" s="21" t="s">
        <v>44</v>
      </c>
      <c r="G277" s="21" t="s">
        <v>49</v>
      </c>
      <c r="H277" s="24" t="n">
        <v>2</v>
      </c>
      <c r="I277" s="24" t="n">
        <v>61430</v>
      </c>
      <c r="J277" s="24" t="n">
        <v>48000</v>
      </c>
      <c r="K277" s="25" t="n">
        <f aca="false">H277*I277</f>
        <v>122860</v>
      </c>
      <c r="L277" s="25" t="n">
        <f aca="false">H277*(I277-J277)</f>
        <v>26860</v>
      </c>
    </row>
    <row r="278" customFormat="false" ht="15" hidden="false" customHeight="false" outlineLevel="0" collapsed="false">
      <c r="A278" s="21" t="s">
        <v>344</v>
      </c>
      <c r="B278" s="22" t="n">
        <v>45961</v>
      </c>
      <c r="C278" s="23" t="n">
        <f aca="false">YEAR(B278)</f>
        <v>2025</v>
      </c>
      <c r="D278" s="23" t="n">
        <f aca="false">MONTH(B278)</f>
        <v>10</v>
      </c>
      <c r="E278" s="21" t="s">
        <v>76</v>
      </c>
      <c r="F278" s="21" t="s">
        <v>44</v>
      </c>
      <c r="G278" s="21" t="s">
        <v>49</v>
      </c>
      <c r="H278" s="24" t="n">
        <v>3</v>
      </c>
      <c r="I278" s="24" t="n">
        <v>59570</v>
      </c>
      <c r="J278" s="24" t="n">
        <v>48000</v>
      </c>
      <c r="K278" s="25" t="n">
        <f aca="false">H278*I278</f>
        <v>178710</v>
      </c>
      <c r="L278" s="25" t="n">
        <f aca="false">H278*(I278-J278)</f>
        <v>34710</v>
      </c>
    </row>
    <row r="279" customFormat="false" ht="15" hidden="false" customHeight="false" outlineLevel="0" collapsed="false">
      <c r="A279" s="21" t="s">
        <v>345</v>
      </c>
      <c r="B279" s="22" t="n">
        <v>45962</v>
      </c>
      <c r="C279" s="23" t="n">
        <f aca="false">YEAR(B279)</f>
        <v>2025</v>
      </c>
      <c r="D279" s="23" t="n">
        <f aca="false">MONTH(B279)</f>
        <v>11</v>
      </c>
      <c r="E279" s="21" t="s">
        <v>56</v>
      </c>
      <c r="F279" s="21" t="s">
        <v>65</v>
      </c>
      <c r="G279" s="21" t="s">
        <v>66</v>
      </c>
      <c r="H279" s="24" t="n">
        <v>5</v>
      </c>
      <c r="I279" s="24" t="n">
        <v>4530</v>
      </c>
      <c r="J279" s="24" t="n">
        <v>1900</v>
      </c>
      <c r="K279" s="25" t="n">
        <f aca="false">H279*I279</f>
        <v>22650</v>
      </c>
      <c r="L279" s="25" t="n">
        <f aca="false">H279*(I279-J279)</f>
        <v>13150</v>
      </c>
    </row>
    <row r="280" customFormat="false" ht="15" hidden="false" customHeight="false" outlineLevel="0" collapsed="false">
      <c r="A280" s="21" t="s">
        <v>346</v>
      </c>
      <c r="B280" s="22" t="n">
        <v>45962</v>
      </c>
      <c r="C280" s="23" t="n">
        <f aca="false">YEAR(B280)</f>
        <v>2025</v>
      </c>
      <c r="D280" s="23" t="n">
        <f aca="false">MONTH(B280)</f>
        <v>11</v>
      </c>
      <c r="E280" s="21" t="s">
        <v>48</v>
      </c>
      <c r="F280" s="21" t="s">
        <v>44</v>
      </c>
      <c r="G280" s="21" t="s">
        <v>45</v>
      </c>
      <c r="H280" s="24" t="n">
        <v>7</v>
      </c>
      <c r="I280" s="24" t="n">
        <v>4460</v>
      </c>
      <c r="J280" s="24" t="n">
        <v>2800</v>
      </c>
      <c r="K280" s="25" t="n">
        <f aca="false">H280*I280</f>
        <v>31220</v>
      </c>
      <c r="L280" s="25" t="n">
        <f aca="false">H280*(I280-J280)</f>
        <v>11620</v>
      </c>
    </row>
    <row r="281" customFormat="false" ht="15" hidden="false" customHeight="false" outlineLevel="0" collapsed="false">
      <c r="A281" s="21" t="s">
        <v>347</v>
      </c>
      <c r="B281" s="22" t="n">
        <v>45962</v>
      </c>
      <c r="C281" s="23" t="n">
        <f aca="false">YEAR(B281)</f>
        <v>2025</v>
      </c>
      <c r="D281" s="23" t="n">
        <f aca="false">MONTH(B281)</f>
        <v>11</v>
      </c>
      <c r="E281" s="21" t="s">
        <v>43</v>
      </c>
      <c r="F281" s="21" t="s">
        <v>62</v>
      </c>
      <c r="G281" s="21" t="s">
        <v>92</v>
      </c>
      <c r="H281" s="24" t="n">
        <v>5</v>
      </c>
      <c r="I281" s="24" t="n">
        <v>13800</v>
      </c>
      <c r="J281" s="24" t="n">
        <v>9000</v>
      </c>
      <c r="K281" s="25" t="n">
        <f aca="false">H281*I281</f>
        <v>69000</v>
      </c>
      <c r="L281" s="25" t="n">
        <f aca="false">H281*(I281-J281)</f>
        <v>24000</v>
      </c>
    </row>
    <row r="282" customFormat="false" ht="15" hidden="false" customHeight="false" outlineLevel="0" collapsed="false">
      <c r="A282" s="21" t="s">
        <v>348</v>
      </c>
      <c r="B282" s="22" t="n">
        <v>45962</v>
      </c>
      <c r="C282" s="23" t="n">
        <f aca="false">YEAR(B282)</f>
        <v>2025</v>
      </c>
      <c r="D282" s="23" t="n">
        <f aca="false">MONTH(B282)</f>
        <v>11</v>
      </c>
      <c r="E282" s="21" t="s">
        <v>43</v>
      </c>
      <c r="F282" s="21" t="s">
        <v>57</v>
      </c>
      <c r="G282" s="21" t="s">
        <v>78</v>
      </c>
      <c r="H282" s="24" t="n">
        <v>18</v>
      </c>
      <c r="I282" s="24" t="n">
        <v>664</v>
      </c>
      <c r="J282" s="24" t="n">
        <v>320</v>
      </c>
      <c r="K282" s="25" t="n">
        <f aca="false">H282*I282</f>
        <v>11952</v>
      </c>
      <c r="L282" s="25" t="n">
        <f aca="false">H282*(I282-J282)</f>
        <v>6192</v>
      </c>
    </row>
    <row r="283" customFormat="false" ht="15" hidden="false" customHeight="false" outlineLevel="0" collapsed="false">
      <c r="A283" s="21" t="s">
        <v>349</v>
      </c>
      <c r="B283" s="22" t="n">
        <v>45963</v>
      </c>
      <c r="C283" s="23" t="n">
        <f aca="false">YEAR(B283)</f>
        <v>2025</v>
      </c>
      <c r="D283" s="23" t="n">
        <f aca="false">MONTH(B283)</f>
        <v>11</v>
      </c>
      <c r="E283" s="21" t="s">
        <v>76</v>
      </c>
      <c r="F283" s="21" t="s">
        <v>65</v>
      </c>
      <c r="G283" s="21" t="s">
        <v>81</v>
      </c>
      <c r="H283" s="24" t="n">
        <v>5</v>
      </c>
      <c r="I283" s="24" t="n">
        <v>9470</v>
      </c>
      <c r="J283" s="24" t="n">
        <v>2500</v>
      </c>
      <c r="K283" s="25" t="n">
        <f aca="false">H283*I283</f>
        <v>47350</v>
      </c>
      <c r="L283" s="25" t="n">
        <f aca="false">H283*(I283-J283)</f>
        <v>34850</v>
      </c>
    </row>
    <row r="284" customFormat="false" ht="15" hidden="false" customHeight="false" outlineLevel="0" collapsed="false">
      <c r="A284" s="21" t="s">
        <v>350</v>
      </c>
      <c r="B284" s="22" t="n">
        <v>45963</v>
      </c>
      <c r="C284" s="23" t="n">
        <f aca="false">YEAR(B284)</f>
        <v>2025</v>
      </c>
      <c r="D284" s="23" t="n">
        <f aca="false">MONTH(B284)</f>
        <v>11</v>
      </c>
      <c r="E284" s="21" t="s">
        <v>48</v>
      </c>
      <c r="F284" s="21" t="s">
        <v>57</v>
      </c>
      <c r="G284" s="21" t="s">
        <v>78</v>
      </c>
      <c r="H284" s="24" t="n">
        <v>49</v>
      </c>
      <c r="I284" s="24" t="n">
        <v>638</v>
      </c>
      <c r="J284" s="24" t="n">
        <v>320</v>
      </c>
      <c r="K284" s="25" t="n">
        <f aca="false">H284*I284</f>
        <v>31262</v>
      </c>
      <c r="L284" s="25" t="n">
        <f aca="false">H284*(I284-J284)</f>
        <v>15582</v>
      </c>
    </row>
    <row r="285" customFormat="false" ht="15" hidden="false" customHeight="false" outlineLevel="0" collapsed="false">
      <c r="A285" s="21" t="s">
        <v>351</v>
      </c>
      <c r="B285" s="22" t="n">
        <v>45964</v>
      </c>
      <c r="C285" s="23" t="n">
        <f aca="false">YEAR(B285)</f>
        <v>2025</v>
      </c>
      <c r="D285" s="23" t="n">
        <f aca="false">MONTH(B285)</f>
        <v>11</v>
      </c>
      <c r="E285" s="21" t="s">
        <v>76</v>
      </c>
      <c r="F285" s="21" t="s">
        <v>62</v>
      </c>
      <c r="G285" s="21" t="s">
        <v>63</v>
      </c>
      <c r="H285" s="24" t="n">
        <v>3</v>
      </c>
      <c r="I285" s="24" t="n">
        <v>27870</v>
      </c>
      <c r="J285" s="24" t="n">
        <v>19500</v>
      </c>
      <c r="K285" s="25" t="n">
        <f aca="false">H285*I285</f>
        <v>83610</v>
      </c>
      <c r="L285" s="25" t="n">
        <f aca="false">H285*(I285-J285)</f>
        <v>25110</v>
      </c>
    </row>
    <row r="286" customFormat="false" ht="15" hidden="false" customHeight="false" outlineLevel="0" collapsed="false">
      <c r="A286" s="21" t="s">
        <v>352</v>
      </c>
      <c r="B286" s="22" t="n">
        <v>45964</v>
      </c>
      <c r="C286" s="23" t="n">
        <f aca="false">YEAR(B286)</f>
        <v>2025</v>
      </c>
      <c r="D286" s="23" t="n">
        <f aca="false">MONTH(B286)</f>
        <v>11</v>
      </c>
      <c r="E286" s="21" t="s">
        <v>76</v>
      </c>
      <c r="F286" s="21" t="s">
        <v>57</v>
      </c>
      <c r="G286" s="21" t="s">
        <v>78</v>
      </c>
      <c r="H286" s="24" t="n">
        <v>41</v>
      </c>
      <c r="I286" s="24" t="n">
        <v>664</v>
      </c>
      <c r="J286" s="24" t="n">
        <v>320</v>
      </c>
      <c r="K286" s="25" t="n">
        <f aca="false">H286*I286</f>
        <v>27224</v>
      </c>
      <c r="L286" s="25" t="n">
        <f aca="false">H286*(I286-J286)</f>
        <v>14104</v>
      </c>
    </row>
    <row r="287" customFormat="false" ht="15" hidden="false" customHeight="false" outlineLevel="0" collapsed="false">
      <c r="A287" s="21" t="s">
        <v>353</v>
      </c>
      <c r="B287" s="22" t="n">
        <v>45965</v>
      </c>
      <c r="C287" s="23" t="n">
        <f aca="false">YEAR(B287)</f>
        <v>2025</v>
      </c>
      <c r="D287" s="23" t="n">
        <f aca="false">MONTH(B287)</f>
        <v>11</v>
      </c>
      <c r="E287" s="21" t="s">
        <v>56</v>
      </c>
      <c r="F287" s="21" t="s">
        <v>62</v>
      </c>
      <c r="G287" s="21" t="s">
        <v>92</v>
      </c>
      <c r="H287" s="24" t="n">
        <v>3</v>
      </c>
      <c r="I287" s="24" t="n">
        <v>13530</v>
      </c>
      <c r="J287" s="24" t="n">
        <v>9000</v>
      </c>
      <c r="K287" s="25" t="n">
        <f aca="false">H287*I287</f>
        <v>40590</v>
      </c>
      <c r="L287" s="25" t="n">
        <f aca="false">H287*(I287-J287)</f>
        <v>13590</v>
      </c>
    </row>
    <row r="288" customFormat="false" ht="15" hidden="false" customHeight="false" outlineLevel="0" collapsed="false">
      <c r="A288" s="21" t="s">
        <v>354</v>
      </c>
      <c r="B288" s="22" t="n">
        <v>45966</v>
      </c>
      <c r="C288" s="23" t="n">
        <f aca="false">YEAR(B288)</f>
        <v>2025</v>
      </c>
      <c r="D288" s="23" t="n">
        <f aca="false">MONTH(B288)</f>
        <v>11</v>
      </c>
      <c r="E288" s="21" t="s">
        <v>48</v>
      </c>
      <c r="F288" s="21" t="s">
        <v>44</v>
      </c>
      <c r="G288" s="21" t="s">
        <v>45</v>
      </c>
      <c r="H288" s="24" t="n">
        <v>6</v>
      </c>
      <c r="I288" s="24" t="n">
        <v>4580</v>
      </c>
      <c r="J288" s="24" t="n">
        <v>2800</v>
      </c>
      <c r="K288" s="25" t="n">
        <f aca="false">H288*I288</f>
        <v>27480</v>
      </c>
      <c r="L288" s="25" t="n">
        <f aca="false">H288*(I288-J288)</f>
        <v>10680</v>
      </c>
    </row>
    <row r="289" customFormat="false" ht="15" hidden="false" customHeight="false" outlineLevel="0" collapsed="false">
      <c r="A289" s="21" t="s">
        <v>355</v>
      </c>
      <c r="B289" s="22" t="n">
        <v>45967</v>
      </c>
      <c r="C289" s="23" t="n">
        <f aca="false">YEAR(B289)</f>
        <v>2025</v>
      </c>
      <c r="D289" s="23" t="n">
        <f aca="false">MONTH(B289)</f>
        <v>11</v>
      </c>
      <c r="E289" s="21" t="s">
        <v>56</v>
      </c>
      <c r="F289" s="21" t="s">
        <v>57</v>
      </c>
      <c r="G289" s="21" t="s">
        <v>74</v>
      </c>
      <c r="H289" s="24" t="n">
        <v>13</v>
      </c>
      <c r="I289" s="24" t="n">
        <v>353</v>
      </c>
      <c r="J289" s="24" t="n">
        <v>170</v>
      </c>
      <c r="K289" s="25" t="n">
        <f aca="false">H289*I289</f>
        <v>4589</v>
      </c>
      <c r="L289" s="25" t="n">
        <f aca="false">H289*(I289-J289)</f>
        <v>2379</v>
      </c>
    </row>
    <row r="290" customFormat="false" ht="15" hidden="false" customHeight="false" outlineLevel="0" collapsed="false">
      <c r="A290" s="21" t="s">
        <v>356</v>
      </c>
      <c r="B290" s="22" t="n">
        <v>45967</v>
      </c>
      <c r="C290" s="23" t="n">
        <f aca="false">YEAR(B290)</f>
        <v>2025</v>
      </c>
      <c r="D290" s="23" t="n">
        <f aca="false">MONTH(B290)</f>
        <v>11</v>
      </c>
      <c r="E290" s="21" t="s">
        <v>56</v>
      </c>
      <c r="F290" s="21" t="s">
        <v>44</v>
      </c>
      <c r="G290" s="21" t="s">
        <v>69</v>
      </c>
      <c r="H290" s="24" t="n">
        <v>5</v>
      </c>
      <c r="I290" s="24" t="n">
        <v>20860</v>
      </c>
      <c r="J290" s="24" t="n">
        <v>15500</v>
      </c>
      <c r="K290" s="25" t="n">
        <f aca="false">H290*I290</f>
        <v>104300</v>
      </c>
      <c r="L290" s="25" t="n">
        <f aca="false">H290*(I290-J290)</f>
        <v>26800</v>
      </c>
    </row>
    <row r="291" customFormat="false" ht="15" hidden="false" customHeight="false" outlineLevel="0" collapsed="false">
      <c r="A291" s="21" t="s">
        <v>357</v>
      </c>
      <c r="B291" s="22" t="n">
        <v>45968</v>
      </c>
      <c r="C291" s="23" t="n">
        <f aca="false">YEAR(B291)</f>
        <v>2025</v>
      </c>
      <c r="D291" s="23" t="n">
        <f aca="false">MONTH(B291)</f>
        <v>11</v>
      </c>
      <c r="E291" s="21" t="s">
        <v>76</v>
      </c>
      <c r="F291" s="21" t="s">
        <v>57</v>
      </c>
      <c r="G291" s="21" t="s">
        <v>74</v>
      </c>
      <c r="H291" s="24" t="n">
        <v>31</v>
      </c>
      <c r="I291" s="24" t="n">
        <v>351</v>
      </c>
      <c r="J291" s="24" t="n">
        <v>170</v>
      </c>
      <c r="K291" s="25" t="n">
        <f aca="false">H291*I291</f>
        <v>10881</v>
      </c>
      <c r="L291" s="25" t="n">
        <f aca="false">H291*(I291-J291)</f>
        <v>5611</v>
      </c>
    </row>
    <row r="292" customFormat="false" ht="15" hidden="false" customHeight="false" outlineLevel="0" collapsed="false">
      <c r="A292" s="21" t="s">
        <v>358</v>
      </c>
      <c r="B292" s="22" t="n">
        <v>45968</v>
      </c>
      <c r="C292" s="23" t="n">
        <f aca="false">YEAR(B292)</f>
        <v>2025</v>
      </c>
      <c r="D292" s="23" t="n">
        <f aca="false">MONTH(B292)</f>
        <v>11</v>
      </c>
      <c r="E292" s="21" t="s">
        <v>56</v>
      </c>
      <c r="F292" s="21" t="s">
        <v>57</v>
      </c>
      <c r="G292" s="21" t="s">
        <v>74</v>
      </c>
      <c r="H292" s="24" t="n">
        <v>58</v>
      </c>
      <c r="I292" s="24" t="n">
        <v>338</v>
      </c>
      <c r="J292" s="24" t="n">
        <v>170</v>
      </c>
      <c r="K292" s="25" t="n">
        <f aca="false">H292*I292</f>
        <v>19604</v>
      </c>
      <c r="L292" s="25" t="n">
        <f aca="false">H292*(I292-J292)</f>
        <v>9744</v>
      </c>
    </row>
    <row r="293" customFormat="false" ht="15" hidden="false" customHeight="false" outlineLevel="0" collapsed="false">
      <c r="A293" s="21" t="s">
        <v>359</v>
      </c>
      <c r="B293" s="22" t="n">
        <v>45968</v>
      </c>
      <c r="C293" s="23" t="n">
        <f aca="false">YEAR(B293)</f>
        <v>2025</v>
      </c>
      <c r="D293" s="23" t="n">
        <f aca="false">MONTH(B293)</f>
        <v>11</v>
      </c>
      <c r="E293" s="21" t="s">
        <v>43</v>
      </c>
      <c r="F293" s="21" t="s">
        <v>57</v>
      </c>
      <c r="G293" s="21" t="s">
        <v>58</v>
      </c>
      <c r="H293" s="24" t="n">
        <v>27</v>
      </c>
      <c r="I293" s="24" t="n">
        <v>1700</v>
      </c>
      <c r="J293" s="24" t="n">
        <v>1250</v>
      </c>
      <c r="K293" s="25" t="n">
        <f aca="false">H293*I293</f>
        <v>45900</v>
      </c>
      <c r="L293" s="25" t="n">
        <f aca="false">H293*(I293-J293)</f>
        <v>12150</v>
      </c>
    </row>
    <row r="294" customFormat="false" ht="15" hidden="false" customHeight="false" outlineLevel="0" collapsed="false">
      <c r="A294" s="21" t="s">
        <v>360</v>
      </c>
      <c r="B294" s="22" t="n">
        <v>45969</v>
      </c>
      <c r="C294" s="23" t="n">
        <f aca="false">YEAR(B294)</f>
        <v>2025</v>
      </c>
      <c r="D294" s="23" t="n">
        <f aca="false">MONTH(B294)</f>
        <v>11</v>
      </c>
      <c r="E294" s="21" t="s">
        <v>48</v>
      </c>
      <c r="F294" s="21" t="s">
        <v>44</v>
      </c>
      <c r="G294" s="21" t="s">
        <v>49</v>
      </c>
      <c r="H294" s="24" t="n">
        <v>1</v>
      </c>
      <c r="I294" s="24" t="n">
        <v>60480</v>
      </c>
      <c r="J294" s="24" t="n">
        <v>48000</v>
      </c>
      <c r="K294" s="25" t="n">
        <f aca="false">H294*I294</f>
        <v>60480</v>
      </c>
      <c r="L294" s="25" t="n">
        <f aca="false">H294*(I294-J294)</f>
        <v>12480</v>
      </c>
    </row>
    <row r="295" customFormat="false" ht="15" hidden="false" customHeight="false" outlineLevel="0" collapsed="false">
      <c r="A295" s="21" t="s">
        <v>361</v>
      </c>
      <c r="B295" s="22" t="n">
        <v>45970</v>
      </c>
      <c r="C295" s="23" t="n">
        <f aca="false">YEAR(B295)</f>
        <v>2025</v>
      </c>
      <c r="D295" s="23" t="n">
        <f aca="false">MONTH(B295)</f>
        <v>11</v>
      </c>
      <c r="E295" s="21" t="s">
        <v>76</v>
      </c>
      <c r="F295" s="21" t="s">
        <v>44</v>
      </c>
      <c r="G295" s="21" t="s">
        <v>45</v>
      </c>
      <c r="H295" s="24" t="n">
        <v>11</v>
      </c>
      <c r="I295" s="24" t="n">
        <v>4640</v>
      </c>
      <c r="J295" s="24" t="n">
        <v>2800</v>
      </c>
      <c r="K295" s="25" t="n">
        <f aca="false">H295*I295</f>
        <v>51040</v>
      </c>
      <c r="L295" s="25" t="n">
        <f aca="false">H295*(I295-J295)</f>
        <v>20240</v>
      </c>
    </row>
    <row r="296" customFormat="false" ht="15" hidden="false" customHeight="false" outlineLevel="0" collapsed="false">
      <c r="A296" s="21" t="s">
        <v>362</v>
      </c>
      <c r="B296" s="22" t="n">
        <v>45971</v>
      </c>
      <c r="C296" s="23" t="n">
        <f aca="false">YEAR(B296)</f>
        <v>2025</v>
      </c>
      <c r="D296" s="23" t="n">
        <f aca="false">MONTH(B296)</f>
        <v>11</v>
      </c>
      <c r="E296" s="21" t="s">
        <v>56</v>
      </c>
      <c r="F296" s="21" t="s">
        <v>65</v>
      </c>
      <c r="G296" s="21" t="s">
        <v>89</v>
      </c>
      <c r="H296" s="24" t="n">
        <v>3</v>
      </c>
      <c r="I296" s="24" t="n">
        <v>1810</v>
      </c>
      <c r="J296" s="24" t="n">
        <v>500</v>
      </c>
      <c r="K296" s="25" t="n">
        <f aca="false">H296*I296</f>
        <v>5430</v>
      </c>
      <c r="L296" s="25" t="n">
        <f aca="false">H296*(I296-J296)</f>
        <v>3930</v>
      </c>
    </row>
    <row r="297" customFormat="false" ht="15" hidden="false" customHeight="false" outlineLevel="0" collapsed="false">
      <c r="A297" s="21" t="s">
        <v>363</v>
      </c>
      <c r="B297" s="22" t="n">
        <v>45971</v>
      </c>
      <c r="C297" s="23" t="n">
        <f aca="false">YEAR(B297)</f>
        <v>2025</v>
      </c>
      <c r="D297" s="23" t="n">
        <f aca="false">MONTH(B297)</f>
        <v>11</v>
      </c>
      <c r="E297" s="21" t="s">
        <v>76</v>
      </c>
      <c r="F297" s="21" t="s">
        <v>57</v>
      </c>
      <c r="G297" s="21" t="s">
        <v>78</v>
      </c>
      <c r="H297" s="24" t="n">
        <v>52</v>
      </c>
      <c r="I297" s="24" t="n">
        <v>649</v>
      </c>
      <c r="J297" s="24" t="n">
        <v>320</v>
      </c>
      <c r="K297" s="25" t="n">
        <f aca="false">H297*I297</f>
        <v>33748</v>
      </c>
      <c r="L297" s="25" t="n">
        <f aca="false">H297*(I297-J297)</f>
        <v>17108</v>
      </c>
    </row>
    <row r="298" customFormat="false" ht="15" hidden="false" customHeight="false" outlineLevel="0" collapsed="false">
      <c r="A298" s="21" t="s">
        <v>364</v>
      </c>
      <c r="B298" s="22" t="n">
        <v>45974</v>
      </c>
      <c r="C298" s="23" t="n">
        <f aca="false">YEAR(B298)</f>
        <v>2025</v>
      </c>
      <c r="D298" s="23" t="n">
        <f aca="false">MONTH(B298)</f>
        <v>11</v>
      </c>
      <c r="E298" s="21" t="s">
        <v>61</v>
      </c>
      <c r="F298" s="21" t="s">
        <v>62</v>
      </c>
      <c r="G298" s="21" t="s">
        <v>63</v>
      </c>
      <c r="H298" s="24" t="n">
        <v>4</v>
      </c>
      <c r="I298" s="24" t="n">
        <v>28850</v>
      </c>
      <c r="J298" s="24" t="n">
        <v>19500</v>
      </c>
      <c r="K298" s="25" t="n">
        <f aca="false">H298*I298</f>
        <v>115400</v>
      </c>
      <c r="L298" s="25" t="n">
        <f aca="false">H298*(I298-J298)</f>
        <v>37400</v>
      </c>
    </row>
    <row r="299" customFormat="false" ht="15" hidden="false" customHeight="false" outlineLevel="0" collapsed="false">
      <c r="A299" s="21" t="s">
        <v>365</v>
      </c>
      <c r="B299" s="22" t="n">
        <v>45976</v>
      </c>
      <c r="C299" s="23" t="n">
        <f aca="false">YEAR(B299)</f>
        <v>2025</v>
      </c>
      <c r="D299" s="23" t="n">
        <f aca="false">MONTH(B299)</f>
        <v>11</v>
      </c>
      <c r="E299" s="21" t="s">
        <v>48</v>
      </c>
      <c r="F299" s="21" t="s">
        <v>62</v>
      </c>
      <c r="G299" s="21" t="s">
        <v>92</v>
      </c>
      <c r="H299" s="24" t="n">
        <v>6</v>
      </c>
      <c r="I299" s="24" t="n">
        <v>14070</v>
      </c>
      <c r="J299" s="24" t="n">
        <v>9000</v>
      </c>
      <c r="K299" s="25" t="n">
        <f aca="false">H299*I299</f>
        <v>84420</v>
      </c>
      <c r="L299" s="25" t="n">
        <f aca="false">H299*(I299-J299)</f>
        <v>30420</v>
      </c>
    </row>
    <row r="300" customFormat="false" ht="15" hidden="false" customHeight="false" outlineLevel="0" collapsed="false">
      <c r="A300" s="21" t="s">
        <v>366</v>
      </c>
      <c r="B300" s="22" t="n">
        <v>45976</v>
      </c>
      <c r="C300" s="23" t="n">
        <f aca="false">YEAR(B300)</f>
        <v>2025</v>
      </c>
      <c r="D300" s="23" t="n">
        <f aca="false">MONTH(B300)</f>
        <v>11</v>
      </c>
      <c r="E300" s="21" t="s">
        <v>48</v>
      </c>
      <c r="F300" s="21" t="s">
        <v>65</v>
      </c>
      <c r="G300" s="21" t="s">
        <v>81</v>
      </c>
      <c r="H300" s="24" t="n">
        <v>16</v>
      </c>
      <c r="I300" s="24" t="n">
        <v>9040</v>
      </c>
      <c r="J300" s="24" t="n">
        <v>2500</v>
      </c>
      <c r="K300" s="25" t="n">
        <f aca="false">H300*I300</f>
        <v>144640</v>
      </c>
      <c r="L300" s="25" t="n">
        <f aca="false">H300*(I300-J300)</f>
        <v>104640</v>
      </c>
    </row>
    <row r="301" customFormat="false" ht="15" hidden="false" customHeight="false" outlineLevel="0" collapsed="false">
      <c r="A301" s="21" t="s">
        <v>367</v>
      </c>
      <c r="B301" s="22" t="n">
        <v>45977</v>
      </c>
      <c r="C301" s="23" t="n">
        <f aca="false">YEAR(B301)</f>
        <v>2025</v>
      </c>
      <c r="D301" s="23" t="n">
        <f aca="false">MONTH(B301)</f>
        <v>11</v>
      </c>
      <c r="E301" s="21" t="s">
        <v>76</v>
      </c>
      <c r="F301" s="21" t="s">
        <v>44</v>
      </c>
      <c r="G301" s="21" t="s">
        <v>69</v>
      </c>
      <c r="H301" s="24" t="n">
        <v>2</v>
      </c>
      <c r="I301" s="24" t="n">
        <v>21700</v>
      </c>
      <c r="J301" s="24" t="n">
        <v>15500</v>
      </c>
      <c r="K301" s="25" t="n">
        <f aca="false">H301*I301</f>
        <v>43400</v>
      </c>
      <c r="L301" s="25" t="n">
        <f aca="false">H301*(I301-J301)</f>
        <v>12400</v>
      </c>
    </row>
    <row r="302" customFormat="false" ht="15" hidden="false" customHeight="false" outlineLevel="0" collapsed="false">
      <c r="A302" s="21" t="s">
        <v>368</v>
      </c>
      <c r="B302" s="22" t="n">
        <v>45978</v>
      </c>
      <c r="C302" s="23" t="n">
        <f aca="false">YEAR(B302)</f>
        <v>2025</v>
      </c>
      <c r="D302" s="23" t="n">
        <f aca="false">MONTH(B302)</f>
        <v>11</v>
      </c>
      <c r="E302" s="21" t="s">
        <v>56</v>
      </c>
      <c r="F302" s="21" t="s">
        <v>65</v>
      </c>
      <c r="G302" s="21" t="s">
        <v>66</v>
      </c>
      <c r="H302" s="24" t="n">
        <v>24</v>
      </c>
      <c r="I302" s="24" t="n">
        <v>4570</v>
      </c>
      <c r="J302" s="24" t="n">
        <v>1900</v>
      </c>
      <c r="K302" s="25" t="n">
        <f aca="false">H302*I302</f>
        <v>109680</v>
      </c>
      <c r="L302" s="25" t="n">
        <f aca="false">H302*(I302-J302)</f>
        <v>64080</v>
      </c>
    </row>
    <row r="303" customFormat="false" ht="15" hidden="false" customHeight="false" outlineLevel="0" collapsed="false">
      <c r="A303" s="21" t="s">
        <v>369</v>
      </c>
      <c r="B303" s="22" t="n">
        <v>45978</v>
      </c>
      <c r="C303" s="23" t="n">
        <f aca="false">YEAR(B303)</f>
        <v>2025</v>
      </c>
      <c r="D303" s="23" t="n">
        <f aca="false">MONTH(B303)</f>
        <v>11</v>
      </c>
      <c r="E303" s="21" t="s">
        <v>48</v>
      </c>
      <c r="F303" s="21" t="s">
        <v>57</v>
      </c>
      <c r="G303" s="21" t="s">
        <v>74</v>
      </c>
      <c r="H303" s="24" t="n">
        <v>54</v>
      </c>
      <c r="I303" s="24" t="n">
        <v>352</v>
      </c>
      <c r="J303" s="24" t="n">
        <v>170</v>
      </c>
      <c r="K303" s="25" t="n">
        <f aca="false">H303*I303</f>
        <v>19008</v>
      </c>
      <c r="L303" s="25" t="n">
        <f aca="false">H303*(I303-J303)</f>
        <v>9828</v>
      </c>
    </row>
    <row r="304" customFormat="false" ht="15" hidden="false" customHeight="false" outlineLevel="0" collapsed="false">
      <c r="A304" s="21" t="s">
        <v>370</v>
      </c>
      <c r="B304" s="22" t="n">
        <v>45979</v>
      </c>
      <c r="C304" s="23" t="n">
        <f aca="false">YEAR(B304)</f>
        <v>2025</v>
      </c>
      <c r="D304" s="23" t="n">
        <f aca="false">MONTH(B304)</f>
        <v>11</v>
      </c>
      <c r="E304" s="21" t="s">
        <v>56</v>
      </c>
      <c r="F304" s="21" t="s">
        <v>65</v>
      </c>
      <c r="G304" s="21" t="s">
        <v>66</v>
      </c>
      <c r="H304" s="24" t="n">
        <v>11</v>
      </c>
      <c r="I304" s="24" t="n">
        <v>4530</v>
      </c>
      <c r="J304" s="24" t="n">
        <v>1900</v>
      </c>
      <c r="K304" s="25" t="n">
        <f aca="false">H304*I304</f>
        <v>49830</v>
      </c>
      <c r="L304" s="25" t="n">
        <f aca="false">H304*(I304-J304)</f>
        <v>28930</v>
      </c>
    </row>
    <row r="305" customFormat="false" ht="15" hidden="false" customHeight="false" outlineLevel="0" collapsed="false">
      <c r="A305" s="21" t="s">
        <v>371</v>
      </c>
      <c r="B305" s="22" t="n">
        <v>45980</v>
      </c>
      <c r="C305" s="23" t="n">
        <f aca="false">YEAR(B305)</f>
        <v>2025</v>
      </c>
      <c r="D305" s="23" t="n">
        <f aca="false">MONTH(B305)</f>
        <v>11</v>
      </c>
      <c r="E305" s="21" t="s">
        <v>48</v>
      </c>
      <c r="F305" s="21" t="s">
        <v>57</v>
      </c>
      <c r="G305" s="21" t="s">
        <v>58</v>
      </c>
      <c r="H305" s="24" t="n">
        <v>17</v>
      </c>
      <c r="I305" s="24" t="n">
        <v>1840</v>
      </c>
      <c r="J305" s="24" t="n">
        <v>1250</v>
      </c>
      <c r="K305" s="25" t="n">
        <f aca="false">H305*I305</f>
        <v>31280</v>
      </c>
      <c r="L305" s="25" t="n">
        <f aca="false">H305*(I305-J305)</f>
        <v>10030</v>
      </c>
    </row>
    <row r="306" customFormat="false" ht="15" hidden="false" customHeight="false" outlineLevel="0" collapsed="false">
      <c r="A306" s="21" t="s">
        <v>372</v>
      </c>
      <c r="B306" s="22" t="n">
        <v>45981</v>
      </c>
      <c r="C306" s="23" t="n">
        <f aca="false">YEAR(B306)</f>
        <v>2025</v>
      </c>
      <c r="D306" s="23" t="n">
        <f aca="false">MONTH(B306)</f>
        <v>11</v>
      </c>
      <c r="E306" s="21" t="s">
        <v>56</v>
      </c>
      <c r="F306" s="21" t="s">
        <v>65</v>
      </c>
      <c r="G306" s="21" t="s">
        <v>66</v>
      </c>
      <c r="H306" s="24" t="n">
        <v>11</v>
      </c>
      <c r="I306" s="24" t="n">
        <v>4490</v>
      </c>
      <c r="J306" s="24" t="n">
        <v>1900</v>
      </c>
      <c r="K306" s="25" t="n">
        <f aca="false">H306*I306</f>
        <v>49390</v>
      </c>
      <c r="L306" s="25" t="n">
        <f aca="false">H306*(I306-J306)</f>
        <v>28490</v>
      </c>
    </row>
    <row r="307" customFormat="false" ht="15" hidden="false" customHeight="false" outlineLevel="0" collapsed="false">
      <c r="A307" s="21" t="s">
        <v>373</v>
      </c>
      <c r="B307" s="22" t="n">
        <v>45981</v>
      </c>
      <c r="C307" s="23" t="n">
        <f aca="false">YEAR(B307)</f>
        <v>2025</v>
      </c>
      <c r="D307" s="23" t="n">
        <f aca="false">MONTH(B307)</f>
        <v>11</v>
      </c>
      <c r="E307" s="21" t="s">
        <v>43</v>
      </c>
      <c r="F307" s="21" t="s">
        <v>65</v>
      </c>
      <c r="G307" s="21" t="s">
        <v>66</v>
      </c>
      <c r="H307" s="24" t="n">
        <v>16</v>
      </c>
      <c r="I307" s="24" t="n">
        <v>4810</v>
      </c>
      <c r="J307" s="24" t="n">
        <v>1900</v>
      </c>
      <c r="K307" s="25" t="n">
        <f aca="false">H307*I307</f>
        <v>76960</v>
      </c>
      <c r="L307" s="25" t="n">
        <f aca="false">H307*(I307-J307)</f>
        <v>46560</v>
      </c>
    </row>
    <row r="308" customFormat="false" ht="15" hidden="false" customHeight="false" outlineLevel="0" collapsed="false">
      <c r="A308" s="21" t="s">
        <v>374</v>
      </c>
      <c r="B308" s="22" t="n">
        <v>45982</v>
      </c>
      <c r="C308" s="23" t="n">
        <f aca="false">YEAR(B308)</f>
        <v>2025</v>
      </c>
      <c r="D308" s="23" t="n">
        <f aca="false">MONTH(B308)</f>
        <v>11</v>
      </c>
      <c r="E308" s="21" t="s">
        <v>43</v>
      </c>
      <c r="F308" s="21" t="s">
        <v>57</v>
      </c>
      <c r="G308" s="21" t="s">
        <v>74</v>
      </c>
      <c r="H308" s="24" t="n">
        <v>78</v>
      </c>
      <c r="I308" s="24" t="n">
        <v>342</v>
      </c>
      <c r="J308" s="24" t="n">
        <v>170</v>
      </c>
      <c r="K308" s="25" t="n">
        <f aca="false">H308*I308</f>
        <v>26676</v>
      </c>
      <c r="L308" s="25" t="n">
        <f aca="false">H308*(I308-J308)</f>
        <v>13416</v>
      </c>
    </row>
    <row r="309" customFormat="false" ht="15" hidden="false" customHeight="false" outlineLevel="0" collapsed="false">
      <c r="A309" s="21" t="s">
        <v>375</v>
      </c>
      <c r="B309" s="22" t="n">
        <v>45982</v>
      </c>
      <c r="C309" s="23" t="n">
        <f aca="false">YEAR(B309)</f>
        <v>2025</v>
      </c>
      <c r="D309" s="23" t="n">
        <f aca="false">MONTH(B309)</f>
        <v>11</v>
      </c>
      <c r="E309" s="21" t="s">
        <v>48</v>
      </c>
      <c r="F309" s="21" t="s">
        <v>57</v>
      </c>
      <c r="G309" s="21" t="s">
        <v>78</v>
      </c>
      <c r="H309" s="24" t="n">
        <v>16</v>
      </c>
      <c r="I309" s="24" t="n">
        <v>658</v>
      </c>
      <c r="J309" s="24" t="n">
        <v>320</v>
      </c>
      <c r="K309" s="25" t="n">
        <f aca="false">H309*I309</f>
        <v>10528</v>
      </c>
      <c r="L309" s="25" t="n">
        <f aca="false">H309*(I309-J309)</f>
        <v>5408</v>
      </c>
    </row>
    <row r="310" customFormat="false" ht="15" hidden="false" customHeight="false" outlineLevel="0" collapsed="false">
      <c r="A310" s="21" t="s">
        <v>376</v>
      </c>
      <c r="B310" s="22" t="n">
        <v>45983</v>
      </c>
      <c r="C310" s="23" t="n">
        <f aca="false">YEAR(B310)</f>
        <v>2025</v>
      </c>
      <c r="D310" s="23" t="n">
        <f aca="false">MONTH(B310)</f>
        <v>11</v>
      </c>
      <c r="E310" s="21" t="s">
        <v>48</v>
      </c>
      <c r="F310" s="21" t="s">
        <v>57</v>
      </c>
      <c r="G310" s="21" t="s">
        <v>78</v>
      </c>
      <c r="H310" s="24" t="n">
        <v>52</v>
      </c>
      <c r="I310" s="24" t="n">
        <v>676</v>
      </c>
      <c r="J310" s="24" t="n">
        <v>320</v>
      </c>
      <c r="K310" s="25" t="n">
        <f aca="false">H310*I310</f>
        <v>35152</v>
      </c>
      <c r="L310" s="25" t="n">
        <f aca="false">H310*(I310-J310)</f>
        <v>18512</v>
      </c>
    </row>
    <row r="311" customFormat="false" ht="15" hidden="false" customHeight="false" outlineLevel="0" collapsed="false">
      <c r="A311" s="21" t="s">
        <v>377</v>
      </c>
      <c r="B311" s="22" t="n">
        <v>45985</v>
      </c>
      <c r="C311" s="23" t="n">
        <f aca="false">YEAR(B311)</f>
        <v>2025</v>
      </c>
      <c r="D311" s="23" t="n">
        <f aca="false">MONTH(B311)</f>
        <v>11</v>
      </c>
      <c r="E311" s="21" t="s">
        <v>43</v>
      </c>
      <c r="F311" s="21" t="s">
        <v>44</v>
      </c>
      <c r="G311" s="21" t="s">
        <v>69</v>
      </c>
      <c r="H311" s="24" t="n">
        <v>1</v>
      </c>
      <c r="I311" s="24" t="n">
        <v>20480</v>
      </c>
      <c r="J311" s="24" t="n">
        <v>15500</v>
      </c>
      <c r="K311" s="25" t="n">
        <f aca="false">H311*I311</f>
        <v>20480</v>
      </c>
      <c r="L311" s="25" t="n">
        <f aca="false">H311*(I311-J311)</f>
        <v>4980</v>
      </c>
    </row>
    <row r="312" customFormat="false" ht="15" hidden="false" customHeight="false" outlineLevel="0" collapsed="false">
      <c r="A312" s="21" t="s">
        <v>378</v>
      </c>
      <c r="B312" s="22" t="n">
        <v>45985</v>
      </c>
      <c r="C312" s="23" t="n">
        <f aca="false">YEAR(B312)</f>
        <v>2025</v>
      </c>
      <c r="D312" s="23" t="n">
        <f aca="false">MONTH(B312)</f>
        <v>11</v>
      </c>
      <c r="E312" s="21" t="s">
        <v>43</v>
      </c>
      <c r="F312" s="21" t="s">
        <v>57</v>
      </c>
      <c r="G312" s="21" t="s">
        <v>74</v>
      </c>
      <c r="H312" s="24" t="n">
        <v>27</v>
      </c>
      <c r="I312" s="24" t="n">
        <v>333</v>
      </c>
      <c r="J312" s="24" t="n">
        <v>170</v>
      </c>
      <c r="K312" s="25" t="n">
        <f aca="false">H312*I312</f>
        <v>8991</v>
      </c>
      <c r="L312" s="25" t="n">
        <f aca="false">H312*(I312-J312)</f>
        <v>4401</v>
      </c>
    </row>
    <row r="313" customFormat="false" ht="15" hidden="false" customHeight="false" outlineLevel="0" collapsed="false">
      <c r="A313" s="21" t="s">
        <v>379</v>
      </c>
      <c r="B313" s="22" t="n">
        <v>45985</v>
      </c>
      <c r="C313" s="23" t="n">
        <f aca="false">YEAR(B313)</f>
        <v>2025</v>
      </c>
      <c r="D313" s="23" t="n">
        <f aca="false">MONTH(B313)</f>
        <v>11</v>
      </c>
      <c r="E313" s="21" t="s">
        <v>61</v>
      </c>
      <c r="F313" s="21" t="s">
        <v>57</v>
      </c>
      <c r="G313" s="21" t="s">
        <v>78</v>
      </c>
      <c r="H313" s="24" t="n">
        <v>36</v>
      </c>
      <c r="I313" s="24" t="n">
        <v>660</v>
      </c>
      <c r="J313" s="24" t="n">
        <v>320</v>
      </c>
      <c r="K313" s="25" t="n">
        <f aca="false">H313*I313</f>
        <v>23760</v>
      </c>
      <c r="L313" s="25" t="n">
        <f aca="false">H313*(I313-J313)</f>
        <v>12240</v>
      </c>
    </row>
    <row r="314" customFormat="false" ht="15" hidden="false" customHeight="false" outlineLevel="0" collapsed="false">
      <c r="A314" s="21" t="s">
        <v>380</v>
      </c>
      <c r="B314" s="22" t="n">
        <v>45985</v>
      </c>
      <c r="C314" s="23" t="n">
        <f aca="false">YEAR(B314)</f>
        <v>2025</v>
      </c>
      <c r="D314" s="23" t="n">
        <f aca="false">MONTH(B314)</f>
        <v>11</v>
      </c>
      <c r="E314" s="21" t="s">
        <v>48</v>
      </c>
      <c r="F314" s="21" t="s">
        <v>65</v>
      </c>
      <c r="G314" s="21" t="s">
        <v>89</v>
      </c>
      <c r="H314" s="24" t="n">
        <v>22</v>
      </c>
      <c r="I314" s="24" t="n">
        <v>1710</v>
      </c>
      <c r="J314" s="24" t="n">
        <v>500</v>
      </c>
      <c r="K314" s="25" t="n">
        <f aca="false">H314*I314</f>
        <v>37620</v>
      </c>
      <c r="L314" s="25" t="n">
        <f aca="false">H314*(I314-J314)</f>
        <v>26620</v>
      </c>
    </row>
    <row r="315" customFormat="false" ht="15" hidden="false" customHeight="false" outlineLevel="0" collapsed="false">
      <c r="A315" s="21" t="s">
        <v>381</v>
      </c>
      <c r="B315" s="22" t="n">
        <v>45986</v>
      </c>
      <c r="C315" s="23" t="n">
        <f aca="false">YEAR(B315)</f>
        <v>2025</v>
      </c>
      <c r="D315" s="23" t="n">
        <f aca="false">MONTH(B315)</f>
        <v>11</v>
      </c>
      <c r="E315" s="21" t="s">
        <v>48</v>
      </c>
      <c r="F315" s="21" t="s">
        <v>65</v>
      </c>
      <c r="G315" s="21" t="s">
        <v>66</v>
      </c>
      <c r="H315" s="24" t="n">
        <v>22</v>
      </c>
      <c r="I315" s="24" t="n">
        <v>4500</v>
      </c>
      <c r="J315" s="24" t="n">
        <v>1900</v>
      </c>
      <c r="K315" s="25" t="n">
        <f aca="false">H315*I315</f>
        <v>99000</v>
      </c>
      <c r="L315" s="25" t="n">
        <f aca="false">H315*(I315-J315)</f>
        <v>57200</v>
      </c>
    </row>
    <row r="316" customFormat="false" ht="15" hidden="false" customHeight="false" outlineLevel="0" collapsed="false">
      <c r="A316" s="21" t="s">
        <v>382</v>
      </c>
      <c r="B316" s="22" t="n">
        <v>45986</v>
      </c>
      <c r="C316" s="23" t="n">
        <f aca="false">YEAR(B316)</f>
        <v>2025</v>
      </c>
      <c r="D316" s="23" t="n">
        <f aca="false">MONTH(B316)</f>
        <v>11</v>
      </c>
      <c r="E316" s="21" t="s">
        <v>56</v>
      </c>
      <c r="F316" s="21" t="s">
        <v>57</v>
      </c>
      <c r="G316" s="21" t="s">
        <v>74</v>
      </c>
      <c r="H316" s="24" t="n">
        <v>39</v>
      </c>
      <c r="I316" s="24" t="n">
        <v>351</v>
      </c>
      <c r="J316" s="24" t="n">
        <v>170</v>
      </c>
      <c r="K316" s="25" t="n">
        <f aca="false">H316*I316</f>
        <v>13689</v>
      </c>
      <c r="L316" s="25" t="n">
        <f aca="false">H316*(I316-J316)</f>
        <v>7059</v>
      </c>
    </row>
    <row r="317" customFormat="false" ht="15" hidden="false" customHeight="false" outlineLevel="0" collapsed="false">
      <c r="A317" s="21" t="s">
        <v>383</v>
      </c>
      <c r="B317" s="22" t="n">
        <v>45989</v>
      </c>
      <c r="C317" s="23" t="n">
        <f aca="false">YEAR(B317)</f>
        <v>2025</v>
      </c>
      <c r="D317" s="23" t="n">
        <f aca="false">MONTH(B317)</f>
        <v>11</v>
      </c>
      <c r="E317" s="21" t="s">
        <v>61</v>
      </c>
      <c r="F317" s="21" t="s">
        <v>57</v>
      </c>
      <c r="G317" s="21" t="s">
        <v>74</v>
      </c>
      <c r="H317" s="24" t="n">
        <v>32</v>
      </c>
      <c r="I317" s="24" t="n">
        <v>347</v>
      </c>
      <c r="J317" s="24" t="n">
        <v>170</v>
      </c>
      <c r="K317" s="25" t="n">
        <f aca="false">H317*I317</f>
        <v>11104</v>
      </c>
      <c r="L317" s="25" t="n">
        <f aca="false">H317*(I317-J317)</f>
        <v>5664</v>
      </c>
    </row>
    <row r="318" customFormat="false" ht="15" hidden="false" customHeight="false" outlineLevel="0" collapsed="false">
      <c r="A318" s="21" t="s">
        <v>384</v>
      </c>
      <c r="B318" s="22" t="n">
        <v>45990</v>
      </c>
      <c r="C318" s="23" t="n">
        <f aca="false">YEAR(B318)</f>
        <v>2025</v>
      </c>
      <c r="D318" s="23" t="n">
        <f aca="false">MONTH(B318)</f>
        <v>11</v>
      </c>
      <c r="E318" s="21" t="s">
        <v>61</v>
      </c>
      <c r="F318" s="21" t="s">
        <v>65</v>
      </c>
      <c r="G318" s="21" t="s">
        <v>81</v>
      </c>
      <c r="H318" s="24" t="n">
        <v>2</v>
      </c>
      <c r="I318" s="24" t="n">
        <v>9880</v>
      </c>
      <c r="J318" s="24" t="n">
        <v>2500</v>
      </c>
      <c r="K318" s="25" t="n">
        <f aca="false">H318*I318</f>
        <v>19760</v>
      </c>
      <c r="L318" s="25" t="n">
        <f aca="false">H318*(I318-J318)</f>
        <v>14760</v>
      </c>
    </row>
    <row r="319" customFormat="false" ht="15" hidden="false" customHeight="false" outlineLevel="0" collapsed="false">
      <c r="A319" s="21" t="s">
        <v>385</v>
      </c>
      <c r="B319" s="22" t="n">
        <v>45990</v>
      </c>
      <c r="C319" s="23" t="n">
        <f aca="false">YEAR(B319)</f>
        <v>2025</v>
      </c>
      <c r="D319" s="23" t="n">
        <f aca="false">MONTH(B319)</f>
        <v>11</v>
      </c>
      <c r="E319" s="21" t="s">
        <v>48</v>
      </c>
      <c r="F319" s="21" t="s">
        <v>62</v>
      </c>
      <c r="G319" s="21" t="s">
        <v>63</v>
      </c>
      <c r="H319" s="24" t="n">
        <v>3</v>
      </c>
      <c r="I319" s="24" t="n">
        <v>28740</v>
      </c>
      <c r="J319" s="24" t="n">
        <v>19500</v>
      </c>
      <c r="K319" s="25" t="n">
        <f aca="false">H319*I319</f>
        <v>86220</v>
      </c>
      <c r="L319" s="25" t="n">
        <f aca="false">H319*(I319-J319)</f>
        <v>27720</v>
      </c>
    </row>
    <row r="320" customFormat="false" ht="15" hidden="false" customHeight="false" outlineLevel="0" collapsed="false">
      <c r="A320" s="21" t="s">
        <v>386</v>
      </c>
      <c r="B320" s="22" t="n">
        <v>45991</v>
      </c>
      <c r="C320" s="23" t="n">
        <f aca="false">YEAR(B320)</f>
        <v>2025</v>
      </c>
      <c r="D320" s="23" t="n">
        <f aca="false">MONTH(B320)</f>
        <v>11</v>
      </c>
      <c r="E320" s="21" t="s">
        <v>76</v>
      </c>
      <c r="F320" s="21" t="s">
        <v>44</v>
      </c>
      <c r="G320" s="21" t="s">
        <v>49</v>
      </c>
      <c r="H320" s="24" t="n">
        <v>1</v>
      </c>
      <c r="I320" s="24" t="n">
        <v>63990</v>
      </c>
      <c r="J320" s="24" t="n">
        <v>48000</v>
      </c>
      <c r="K320" s="25" t="n">
        <f aca="false">H320*I320</f>
        <v>63990</v>
      </c>
      <c r="L320" s="25" t="n">
        <f aca="false">H320*(I320-J320)</f>
        <v>15990</v>
      </c>
    </row>
    <row r="321" customFormat="false" ht="15" hidden="false" customHeight="false" outlineLevel="0" collapsed="false">
      <c r="A321" s="21" t="s">
        <v>387</v>
      </c>
      <c r="B321" s="22" t="n">
        <v>45992</v>
      </c>
      <c r="C321" s="23" t="n">
        <f aca="false">YEAR(B321)</f>
        <v>2025</v>
      </c>
      <c r="D321" s="23" t="n">
        <f aca="false">MONTH(B321)</f>
        <v>12</v>
      </c>
      <c r="E321" s="21" t="s">
        <v>48</v>
      </c>
      <c r="F321" s="21" t="s">
        <v>62</v>
      </c>
      <c r="G321" s="21" t="s">
        <v>92</v>
      </c>
      <c r="H321" s="24" t="n">
        <v>6</v>
      </c>
      <c r="I321" s="24" t="n">
        <v>13860</v>
      </c>
      <c r="J321" s="24" t="n">
        <v>9000</v>
      </c>
      <c r="K321" s="25" t="n">
        <f aca="false">H321*I321</f>
        <v>83160</v>
      </c>
      <c r="L321" s="25" t="n">
        <f aca="false">H321*(I321-J321)</f>
        <v>29160</v>
      </c>
    </row>
    <row r="322" customFormat="false" ht="15" hidden="false" customHeight="false" outlineLevel="0" collapsed="false">
      <c r="A322" s="21" t="s">
        <v>388</v>
      </c>
      <c r="B322" s="22" t="n">
        <v>45992</v>
      </c>
      <c r="C322" s="23" t="n">
        <f aca="false">YEAR(B322)</f>
        <v>2025</v>
      </c>
      <c r="D322" s="23" t="n">
        <f aca="false">MONTH(B322)</f>
        <v>12</v>
      </c>
      <c r="E322" s="21" t="s">
        <v>61</v>
      </c>
      <c r="F322" s="21" t="s">
        <v>57</v>
      </c>
      <c r="G322" s="21" t="s">
        <v>78</v>
      </c>
      <c r="H322" s="24" t="n">
        <v>42</v>
      </c>
      <c r="I322" s="24" t="n">
        <v>648</v>
      </c>
      <c r="J322" s="24" t="n">
        <v>320</v>
      </c>
      <c r="K322" s="25" t="n">
        <f aca="false">H322*I322</f>
        <v>27216</v>
      </c>
      <c r="L322" s="25" t="n">
        <f aca="false">H322*(I322-J322)</f>
        <v>13776</v>
      </c>
    </row>
    <row r="323" customFormat="false" ht="15" hidden="false" customHeight="false" outlineLevel="0" collapsed="false">
      <c r="A323" s="21" t="s">
        <v>389</v>
      </c>
      <c r="B323" s="22" t="n">
        <v>45993</v>
      </c>
      <c r="C323" s="23" t="n">
        <f aca="false">YEAR(B323)</f>
        <v>2025</v>
      </c>
      <c r="D323" s="23" t="n">
        <f aca="false">MONTH(B323)</f>
        <v>12</v>
      </c>
      <c r="E323" s="21" t="s">
        <v>43</v>
      </c>
      <c r="F323" s="21" t="s">
        <v>44</v>
      </c>
      <c r="G323" s="21" t="s">
        <v>45</v>
      </c>
      <c r="H323" s="24" t="n">
        <v>4</v>
      </c>
      <c r="I323" s="24" t="n">
        <v>4550</v>
      </c>
      <c r="J323" s="24" t="n">
        <v>2800</v>
      </c>
      <c r="K323" s="25" t="n">
        <f aca="false">H323*I323</f>
        <v>18200</v>
      </c>
      <c r="L323" s="25" t="n">
        <f aca="false">H323*(I323-J323)</f>
        <v>7000</v>
      </c>
    </row>
    <row r="324" customFormat="false" ht="15" hidden="false" customHeight="false" outlineLevel="0" collapsed="false">
      <c r="A324" s="21" t="s">
        <v>390</v>
      </c>
      <c r="B324" s="22" t="n">
        <v>45993</v>
      </c>
      <c r="C324" s="23" t="n">
        <f aca="false">YEAR(B324)</f>
        <v>2025</v>
      </c>
      <c r="D324" s="23" t="n">
        <f aca="false">MONTH(B324)</f>
        <v>12</v>
      </c>
      <c r="E324" s="21" t="s">
        <v>56</v>
      </c>
      <c r="F324" s="21" t="s">
        <v>57</v>
      </c>
      <c r="G324" s="21" t="s">
        <v>58</v>
      </c>
      <c r="H324" s="24" t="n">
        <v>5</v>
      </c>
      <c r="I324" s="24" t="n">
        <v>1820</v>
      </c>
      <c r="J324" s="24" t="n">
        <v>1250</v>
      </c>
      <c r="K324" s="25" t="n">
        <f aca="false">H324*I324</f>
        <v>9100</v>
      </c>
      <c r="L324" s="25" t="n">
        <f aca="false">H324*(I324-J324)</f>
        <v>2850</v>
      </c>
    </row>
    <row r="325" customFormat="false" ht="15" hidden="false" customHeight="false" outlineLevel="0" collapsed="false">
      <c r="A325" s="21" t="s">
        <v>391</v>
      </c>
      <c r="B325" s="22" t="n">
        <v>45995</v>
      </c>
      <c r="C325" s="23" t="n">
        <f aca="false">YEAR(B325)</f>
        <v>2025</v>
      </c>
      <c r="D325" s="23" t="n">
        <f aca="false">MONTH(B325)</f>
        <v>12</v>
      </c>
      <c r="E325" s="21" t="s">
        <v>76</v>
      </c>
      <c r="F325" s="21" t="s">
        <v>65</v>
      </c>
      <c r="G325" s="21" t="s">
        <v>81</v>
      </c>
      <c r="H325" s="24" t="n">
        <v>7</v>
      </c>
      <c r="I325" s="24" t="n">
        <v>9020</v>
      </c>
      <c r="J325" s="24" t="n">
        <v>2500</v>
      </c>
      <c r="K325" s="25" t="n">
        <f aca="false">H325*I325</f>
        <v>63140</v>
      </c>
      <c r="L325" s="25" t="n">
        <f aca="false">H325*(I325-J325)</f>
        <v>45640</v>
      </c>
    </row>
    <row r="326" customFormat="false" ht="15" hidden="false" customHeight="false" outlineLevel="0" collapsed="false">
      <c r="A326" s="21" t="s">
        <v>392</v>
      </c>
      <c r="B326" s="22" t="n">
        <v>45998</v>
      </c>
      <c r="C326" s="23" t="n">
        <f aca="false">YEAR(B326)</f>
        <v>2025</v>
      </c>
      <c r="D326" s="23" t="n">
        <f aca="false">MONTH(B326)</f>
        <v>12</v>
      </c>
      <c r="E326" s="21" t="s">
        <v>61</v>
      </c>
      <c r="F326" s="21" t="s">
        <v>65</v>
      </c>
      <c r="G326" s="21" t="s">
        <v>81</v>
      </c>
      <c r="H326" s="24" t="n">
        <v>14</v>
      </c>
      <c r="I326" s="24" t="n">
        <v>9370</v>
      </c>
      <c r="J326" s="24" t="n">
        <v>2500</v>
      </c>
      <c r="K326" s="25" t="n">
        <f aca="false">H326*I326</f>
        <v>131180</v>
      </c>
      <c r="L326" s="25" t="n">
        <f aca="false">H326*(I326-J326)</f>
        <v>96180</v>
      </c>
    </row>
    <row r="327" customFormat="false" ht="15" hidden="false" customHeight="false" outlineLevel="0" collapsed="false">
      <c r="A327" s="21" t="s">
        <v>393</v>
      </c>
      <c r="B327" s="22" t="n">
        <v>45999</v>
      </c>
      <c r="C327" s="23" t="n">
        <f aca="false">YEAR(B327)</f>
        <v>2025</v>
      </c>
      <c r="D327" s="23" t="n">
        <f aca="false">MONTH(B327)</f>
        <v>12</v>
      </c>
      <c r="E327" s="21" t="s">
        <v>56</v>
      </c>
      <c r="F327" s="21" t="s">
        <v>44</v>
      </c>
      <c r="G327" s="21" t="s">
        <v>45</v>
      </c>
      <c r="H327" s="24" t="n">
        <v>4</v>
      </c>
      <c r="I327" s="24" t="n">
        <v>4670</v>
      </c>
      <c r="J327" s="24" t="n">
        <v>2800</v>
      </c>
      <c r="K327" s="25" t="n">
        <f aca="false">H327*I327</f>
        <v>18680</v>
      </c>
      <c r="L327" s="25" t="n">
        <f aca="false">H327*(I327-J327)</f>
        <v>7480</v>
      </c>
    </row>
    <row r="328" customFormat="false" ht="15" hidden="false" customHeight="false" outlineLevel="0" collapsed="false">
      <c r="A328" s="21" t="s">
        <v>394</v>
      </c>
      <c r="B328" s="22" t="n">
        <v>46000</v>
      </c>
      <c r="C328" s="23" t="n">
        <f aca="false">YEAR(B328)</f>
        <v>2025</v>
      </c>
      <c r="D328" s="23" t="n">
        <f aca="false">MONTH(B328)</f>
        <v>12</v>
      </c>
      <c r="E328" s="21" t="s">
        <v>61</v>
      </c>
      <c r="F328" s="21" t="s">
        <v>62</v>
      </c>
      <c r="G328" s="21" t="s">
        <v>72</v>
      </c>
      <c r="H328" s="24" t="n">
        <v>1</v>
      </c>
      <c r="I328" s="24" t="n">
        <v>7190</v>
      </c>
      <c r="J328" s="24" t="n">
        <v>4800</v>
      </c>
      <c r="K328" s="25" t="n">
        <f aca="false">H328*I328</f>
        <v>7190</v>
      </c>
      <c r="L328" s="25" t="n">
        <f aca="false">H328*(I328-J328)</f>
        <v>2390</v>
      </c>
    </row>
    <row r="329" customFormat="false" ht="15" hidden="false" customHeight="false" outlineLevel="0" collapsed="false">
      <c r="A329" s="21" t="s">
        <v>395</v>
      </c>
      <c r="B329" s="22" t="n">
        <v>46000</v>
      </c>
      <c r="C329" s="23" t="n">
        <f aca="false">YEAR(B329)</f>
        <v>2025</v>
      </c>
      <c r="D329" s="23" t="n">
        <f aca="false">MONTH(B329)</f>
        <v>12</v>
      </c>
      <c r="E329" s="21" t="s">
        <v>56</v>
      </c>
      <c r="F329" s="21" t="s">
        <v>44</v>
      </c>
      <c r="G329" s="21" t="s">
        <v>69</v>
      </c>
      <c r="H329" s="24" t="n">
        <v>3</v>
      </c>
      <c r="I329" s="24" t="n">
        <v>20230</v>
      </c>
      <c r="J329" s="24" t="n">
        <v>15500</v>
      </c>
      <c r="K329" s="25" t="n">
        <f aca="false">H329*I329</f>
        <v>60690</v>
      </c>
      <c r="L329" s="25" t="n">
        <f aca="false">H329*(I329-J329)</f>
        <v>14190</v>
      </c>
    </row>
    <row r="330" customFormat="false" ht="15" hidden="false" customHeight="false" outlineLevel="0" collapsed="false">
      <c r="A330" s="21" t="s">
        <v>396</v>
      </c>
      <c r="B330" s="22" t="n">
        <v>46000</v>
      </c>
      <c r="C330" s="23" t="n">
        <f aca="false">YEAR(B330)</f>
        <v>2025</v>
      </c>
      <c r="D330" s="23" t="n">
        <f aca="false">MONTH(B330)</f>
        <v>12</v>
      </c>
      <c r="E330" s="21" t="s">
        <v>43</v>
      </c>
      <c r="F330" s="21" t="s">
        <v>57</v>
      </c>
      <c r="G330" s="21" t="s">
        <v>74</v>
      </c>
      <c r="H330" s="24" t="n">
        <v>56</v>
      </c>
      <c r="I330" s="24" t="n">
        <v>357</v>
      </c>
      <c r="J330" s="24" t="n">
        <v>170</v>
      </c>
      <c r="K330" s="25" t="n">
        <f aca="false">H330*I330</f>
        <v>19992</v>
      </c>
      <c r="L330" s="25" t="n">
        <f aca="false">H330*(I330-J330)</f>
        <v>10472</v>
      </c>
    </row>
    <row r="331" customFormat="false" ht="15" hidden="false" customHeight="false" outlineLevel="0" collapsed="false">
      <c r="A331" s="21" t="s">
        <v>397</v>
      </c>
      <c r="B331" s="22" t="n">
        <v>46002</v>
      </c>
      <c r="C331" s="23" t="n">
        <f aca="false">YEAR(B331)</f>
        <v>2025</v>
      </c>
      <c r="D331" s="23" t="n">
        <f aca="false">MONTH(B331)</f>
        <v>12</v>
      </c>
      <c r="E331" s="21" t="s">
        <v>43</v>
      </c>
      <c r="F331" s="21" t="s">
        <v>44</v>
      </c>
      <c r="G331" s="21" t="s">
        <v>49</v>
      </c>
      <c r="H331" s="24" t="n">
        <v>2</v>
      </c>
      <c r="I331" s="24" t="n">
        <v>58750</v>
      </c>
      <c r="J331" s="24" t="n">
        <v>48000</v>
      </c>
      <c r="K331" s="25" t="n">
        <f aca="false">H331*I331</f>
        <v>117500</v>
      </c>
      <c r="L331" s="25" t="n">
        <f aca="false">H331*(I331-J331)</f>
        <v>21500</v>
      </c>
    </row>
    <row r="332" customFormat="false" ht="15" hidden="false" customHeight="false" outlineLevel="0" collapsed="false">
      <c r="A332" s="21" t="s">
        <v>398</v>
      </c>
      <c r="B332" s="22" t="n">
        <v>46003</v>
      </c>
      <c r="C332" s="23" t="n">
        <f aca="false">YEAR(B332)</f>
        <v>2025</v>
      </c>
      <c r="D332" s="23" t="n">
        <f aca="false">MONTH(B332)</f>
        <v>12</v>
      </c>
      <c r="E332" s="21" t="s">
        <v>61</v>
      </c>
      <c r="F332" s="21" t="s">
        <v>57</v>
      </c>
      <c r="G332" s="21" t="s">
        <v>58</v>
      </c>
      <c r="H332" s="24" t="n">
        <v>27</v>
      </c>
      <c r="I332" s="24" t="n">
        <v>1830</v>
      </c>
      <c r="J332" s="24" t="n">
        <v>1250</v>
      </c>
      <c r="K332" s="25" t="n">
        <f aca="false">H332*I332</f>
        <v>49410</v>
      </c>
      <c r="L332" s="25" t="n">
        <f aca="false">H332*(I332-J332)</f>
        <v>15660</v>
      </c>
    </row>
    <row r="333" customFormat="false" ht="15" hidden="false" customHeight="false" outlineLevel="0" collapsed="false">
      <c r="A333" s="21" t="s">
        <v>399</v>
      </c>
      <c r="B333" s="22" t="n">
        <v>46005</v>
      </c>
      <c r="C333" s="23" t="n">
        <f aca="false">YEAR(B333)</f>
        <v>2025</v>
      </c>
      <c r="D333" s="23" t="n">
        <f aca="false">MONTH(B333)</f>
        <v>12</v>
      </c>
      <c r="E333" s="21" t="s">
        <v>76</v>
      </c>
      <c r="F333" s="21" t="s">
        <v>57</v>
      </c>
      <c r="G333" s="21" t="s">
        <v>58</v>
      </c>
      <c r="H333" s="24" t="n">
        <v>14</v>
      </c>
      <c r="I333" s="24" t="n">
        <v>1750</v>
      </c>
      <c r="J333" s="24" t="n">
        <v>1250</v>
      </c>
      <c r="K333" s="25" t="n">
        <f aca="false">H333*I333</f>
        <v>24500</v>
      </c>
      <c r="L333" s="25" t="n">
        <f aca="false">H333*(I333-J333)</f>
        <v>7000</v>
      </c>
    </row>
    <row r="334" customFormat="false" ht="15" hidden="false" customHeight="false" outlineLevel="0" collapsed="false">
      <c r="A334" s="21" t="s">
        <v>400</v>
      </c>
      <c r="B334" s="22" t="n">
        <v>46006</v>
      </c>
      <c r="C334" s="23" t="n">
        <f aca="false">YEAR(B334)</f>
        <v>2025</v>
      </c>
      <c r="D334" s="23" t="n">
        <f aca="false">MONTH(B334)</f>
        <v>12</v>
      </c>
      <c r="E334" s="21" t="s">
        <v>61</v>
      </c>
      <c r="F334" s="21" t="s">
        <v>44</v>
      </c>
      <c r="G334" s="21" t="s">
        <v>69</v>
      </c>
      <c r="H334" s="24" t="n">
        <v>4</v>
      </c>
      <c r="I334" s="24" t="n">
        <v>19880</v>
      </c>
      <c r="J334" s="24" t="n">
        <v>15500</v>
      </c>
      <c r="K334" s="25" t="n">
        <f aca="false">H334*I334</f>
        <v>79520</v>
      </c>
      <c r="L334" s="25" t="n">
        <f aca="false">H334*(I334-J334)</f>
        <v>17520</v>
      </c>
    </row>
    <row r="335" customFormat="false" ht="15" hidden="false" customHeight="false" outlineLevel="0" collapsed="false">
      <c r="A335" s="21" t="s">
        <v>401</v>
      </c>
      <c r="B335" s="22" t="n">
        <v>46006</v>
      </c>
      <c r="C335" s="23" t="n">
        <f aca="false">YEAR(B335)</f>
        <v>2025</v>
      </c>
      <c r="D335" s="23" t="n">
        <f aca="false">MONTH(B335)</f>
        <v>12</v>
      </c>
      <c r="E335" s="21" t="s">
        <v>76</v>
      </c>
      <c r="F335" s="21" t="s">
        <v>57</v>
      </c>
      <c r="G335" s="21" t="s">
        <v>74</v>
      </c>
      <c r="H335" s="24" t="n">
        <v>63</v>
      </c>
      <c r="I335" s="24" t="n">
        <v>357</v>
      </c>
      <c r="J335" s="24" t="n">
        <v>170</v>
      </c>
      <c r="K335" s="25" t="n">
        <f aca="false">H335*I335</f>
        <v>22491</v>
      </c>
      <c r="L335" s="25" t="n">
        <f aca="false">H335*(I335-J335)</f>
        <v>11781</v>
      </c>
    </row>
    <row r="336" customFormat="false" ht="15" hidden="false" customHeight="false" outlineLevel="0" collapsed="false">
      <c r="A336" s="21" t="s">
        <v>402</v>
      </c>
      <c r="B336" s="22" t="n">
        <v>46008</v>
      </c>
      <c r="C336" s="23" t="n">
        <f aca="false">YEAR(B336)</f>
        <v>2025</v>
      </c>
      <c r="D336" s="23" t="n">
        <f aca="false">MONTH(B336)</f>
        <v>12</v>
      </c>
      <c r="E336" s="21" t="s">
        <v>56</v>
      </c>
      <c r="F336" s="21" t="s">
        <v>65</v>
      </c>
      <c r="G336" s="21" t="s">
        <v>89</v>
      </c>
      <c r="H336" s="24" t="n">
        <v>27</v>
      </c>
      <c r="I336" s="24" t="n">
        <v>1810</v>
      </c>
      <c r="J336" s="24" t="n">
        <v>500</v>
      </c>
      <c r="K336" s="25" t="n">
        <f aca="false">H336*I336</f>
        <v>48870</v>
      </c>
      <c r="L336" s="25" t="n">
        <f aca="false">H336*(I336-J336)</f>
        <v>35370</v>
      </c>
    </row>
    <row r="337" customFormat="false" ht="15" hidden="false" customHeight="false" outlineLevel="0" collapsed="false">
      <c r="A337" s="21" t="s">
        <v>403</v>
      </c>
      <c r="B337" s="22" t="n">
        <v>46008</v>
      </c>
      <c r="C337" s="23" t="n">
        <f aca="false">YEAR(B337)</f>
        <v>2025</v>
      </c>
      <c r="D337" s="23" t="n">
        <f aca="false">MONTH(B337)</f>
        <v>12</v>
      </c>
      <c r="E337" s="21" t="s">
        <v>48</v>
      </c>
      <c r="F337" s="21" t="s">
        <v>44</v>
      </c>
      <c r="G337" s="21" t="s">
        <v>45</v>
      </c>
      <c r="H337" s="24" t="n">
        <v>11</v>
      </c>
      <c r="I337" s="24" t="n">
        <v>4620</v>
      </c>
      <c r="J337" s="24" t="n">
        <v>2800</v>
      </c>
      <c r="K337" s="25" t="n">
        <f aca="false">H337*I337</f>
        <v>50820</v>
      </c>
      <c r="L337" s="25" t="n">
        <f aca="false">H337*(I337-J337)</f>
        <v>20020</v>
      </c>
    </row>
    <row r="338" customFormat="false" ht="15" hidden="false" customHeight="false" outlineLevel="0" collapsed="false">
      <c r="A338" s="21" t="s">
        <v>404</v>
      </c>
      <c r="B338" s="22" t="n">
        <v>46009</v>
      </c>
      <c r="C338" s="23" t="n">
        <f aca="false">YEAR(B338)</f>
        <v>2025</v>
      </c>
      <c r="D338" s="23" t="n">
        <f aca="false">MONTH(B338)</f>
        <v>12</v>
      </c>
      <c r="E338" s="21" t="s">
        <v>48</v>
      </c>
      <c r="F338" s="21" t="s">
        <v>44</v>
      </c>
      <c r="G338" s="21" t="s">
        <v>49</v>
      </c>
      <c r="H338" s="24" t="n">
        <v>3</v>
      </c>
      <c r="I338" s="24" t="n">
        <v>60130</v>
      </c>
      <c r="J338" s="24" t="n">
        <v>48000</v>
      </c>
      <c r="K338" s="25" t="n">
        <f aca="false">H338*I338</f>
        <v>180390</v>
      </c>
      <c r="L338" s="25" t="n">
        <f aca="false">H338*(I338-J338)</f>
        <v>36390</v>
      </c>
    </row>
    <row r="339" customFormat="false" ht="15" hidden="false" customHeight="false" outlineLevel="0" collapsed="false">
      <c r="A339" s="21" t="s">
        <v>405</v>
      </c>
      <c r="B339" s="22" t="n">
        <v>46011</v>
      </c>
      <c r="C339" s="23" t="n">
        <f aca="false">YEAR(B339)</f>
        <v>2025</v>
      </c>
      <c r="D339" s="23" t="n">
        <f aca="false">MONTH(B339)</f>
        <v>12</v>
      </c>
      <c r="E339" s="21" t="s">
        <v>43</v>
      </c>
      <c r="F339" s="21" t="s">
        <v>65</v>
      </c>
      <c r="G339" s="21" t="s">
        <v>89</v>
      </c>
      <c r="H339" s="24" t="n">
        <v>28</v>
      </c>
      <c r="I339" s="24" t="n">
        <v>1780</v>
      </c>
      <c r="J339" s="24" t="n">
        <v>500</v>
      </c>
      <c r="K339" s="25" t="n">
        <f aca="false">H339*I339</f>
        <v>49840</v>
      </c>
      <c r="L339" s="25" t="n">
        <f aca="false">H339*(I339-J339)</f>
        <v>35840</v>
      </c>
    </row>
    <row r="340" customFormat="false" ht="15" hidden="false" customHeight="false" outlineLevel="0" collapsed="false">
      <c r="A340" s="21" t="s">
        <v>406</v>
      </c>
      <c r="B340" s="22" t="n">
        <v>46012</v>
      </c>
      <c r="C340" s="23" t="n">
        <f aca="false">YEAR(B340)</f>
        <v>2025</v>
      </c>
      <c r="D340" s="23" t="n">
        <f aca="false">MONTH(B340)</f>
        <v>12</v>
      </c>
      <c r="E340" s="21" t="s">
        <v>76</v>
      </c>
      <c r="F340" s="21" t="s">
        <v>57</v>
      </c>
      <c r="G340" s="21" t="s">
        <v>78</v>
      </c>
      <c r="H340" s="24" t="n">
        <v>19</v>
      </c>
      <c r="I340" s="24" t="n">
        <v>628</v>
      </c>
      <c r="J340" s="24" t="n">
        <v>320</v>
      </c>
      <c r="K340" s="25" t="n">
        <f aca="false">H340*I340</f>
        <v>11932</v>
      </c>
      <c r="L340" s="25" t="n">
        <f aca="false">H340*(I340-J340)</f>
        <v>5852</v>
      </c>
    </row>
    <row r="341" customFormat="false" ht="15" hidden="false" customHeight="false" outlineLevel="0" collapsed="false">
      <c r="A341" s="21" t="s">
        <v>407</v>
      </c>
      <c r="B341" s="22" t="n">
        <v>46012</v>
      </c>
      <c r="C341" s="23" t="n">
        <f aca="false">YEAR(B341)</f>
        <v>2025</v>
      </c>
      <c r="D341" s="23" t="n">
        <f aca="false">MONTH(B341)</f>
        <v>12</v>
      </c>
      <c r="E341" s="21" t="s">
        <v>48</v>
      </c>
      <c r="F341" s="21" t="s">
        <v>65</v>
      </c>
      <c r="G341" s="21" t="s">
        <v>81</v>
      </c>
      <c r="H341" s="24" t="n">
        <v>7</v>
      </c>
      <c r="I341" s="24" t="n">
        <v>9580</v>
      </c>
      <c r="J341" s="24" t="n">
        <v>2500</v>
      </c>
      <c r="K341" s="25" t="n">
        <f aca="false">H341*I341</f>
        <v>67060</v>
      </c>
      <c r="L341" s="25" t="n">
        <f aca="false">H341*(I341-J341)</f>
        <v>49560</v>
      </c>
    </row>
    <row r="342" customFormat="false" ht="15" hidden="false" customHeight="false" outlineLevel="0" collapsed="false">
      <c r="A342" s="21" t="s">
        <v>408</v>
      </c>
      <c r="B342" s="22" t="n">
        <v>46014</v>
      </c>
      <c r="C342" s="23" t="n">
        <f aca="false">YEAR(B342)</f>
        <v>2025</v>
      </c>
      <c r="D342" s="23" t="n">
        <f aca="false">MONTH(B342)</f>
        <v>12</v>
      </c>
      <c r="E342" s="21" t="s">
        <v>61</v>
      </c>
      <c r="F342" s="21" t="s">
        <v>57</v>
      </c>
      <c r="G342" s="21" t="s">
        <v>78</v>
      </c>
      <c r="H342" s="24" t="n">
        <v>38</v>
      </c>
      <c r="I342" s="24" t="n">
        <v>670</v>
      </c>
      <c r="J342" s="24" t="n">
        <v>320</v>
      </c>
      <c r="K342" s="25" t="n">
        <f aca="false">H342*I342</f>
        <v>25460</v>
      </c>
      <c r="L342" s="25" t="n">
        <f aca="false">H342*(I342-J342)</f>
        <v>13300</v>
      </c>
    </row>
    <row r="343" customFormat="false" ht="15" hidden="false" customHeight="false" outlineLevel="0" collapsed="false">
      <c r="A343" s="21" t="s">
        <v>409</v>
      </c>
      <c r="B343" s="22" t="n">
        <v>46015</v>
      </c>
      <c r="C343" s="23" t="n">
        <f aca="false">YEAR(B343)</f>
        <v>2025</v>
      </c>
      <c r="D343" s="23" t="n">
        <f aca="false">MONTH(B343)</f>
        <v>12</v>
      </c>
      <c r="E343" s="21" t="s">
        <v>76</v>
      </c>
      <c r="F343" s="21" t="s">
        <v>62</v>
      </c>
      <c r="G343" s="21" t="s">
        <v>72</v>
      </c>
      <c r="H343" s="24" t="n">
        <v>4</v>
      </c>
      <c r="I343" s="24" t="n">
        <v>7440</v>
      </c>
      <c r="J343" s="24" t="n">
        <v>4800</v>
      </c>
      <c r="K343" s="25" t="n">
        <f aca="false">H343*I343</f>
        <v>29760</v>
      </c>
      <c r="L343" s="25" t="n">
        <f aca="false">H343*(I343-J343)</f>
        <v>10560</v>
      </c>
    </row>
    <row r="344" customFormat="false" ht="15" hidden="false" customHeight="false" outlineLevel="0" collapsed="false">
      <c r="A344" s="21" t="s">
        <v>410</v>
      </c>
      <c r="B344" s="22" t="n">
        <v>46015</v>
      </c>
      <c r="C344" s="23" t="n">
        <f aca="false">YEAR(B344)</f>
        <v>2025</v>
      </c>
      <c r="D344" s="23" t="n">
        <f aca="false">MONTH(B344)</f>
        <v>12</v>
      </c>
      <c r="E344" s="21" t="s">
        <v>56</v>
      </c>
      <c r="F344" s="21" t="s">
        <v>57</v>
      </c>
      <c r="G344" s="21" t="s">
        <v>78</v>
      </c>
      <c r="H344" s="24" t="n">
        <v>29</v>
      </c>
      <c r="I344" s="24" t="n">
        <v>665</v>
      </c>
      <c r="J344" s="24" t="n">
        <v>320</v>
      </c>
      <c r="K344" s="25" t="n">
        <f aca="false">H344*I344</f>
        <v>19285</v>
      </c>
      <c r="L344" s="25" t="n">
        <f aca="false">H344*(I344-J344)</f>
        <v>10005</v>
      </c>
    </row>
    <row r="345" customFormat="false" ht="15" hidden="false" customHeight="false" outlineLevel="0" collapsed="false">
      <c r="A345" s="21" t="s">
        <v>411</v>
      </c>
      <c r="B345" s="22" t="n">
        <v>46015</v>
      </c>
      <c r="C345" s="23" t="n">
        <f aca="false">YEAR(B345)</f>
        <v>2025</v>
      </c>
      <c r="D345" s="23" t="n">
        <f aca="false">MONTH(B345)</f>
        <v>12</v>
      </c>
      <c r="E345" s="21" t="s">
        <v>56</v>
      </c>
      <c r="F345" s="21" t="s">
        <v>62</v>
      </c>
      <c r="G345" s="21" t="s">
        <v>63</v>
      </c>
      <c r="H345" s="24" t="n">
        <v>2</v>
      </c>
      <c r="I345" s="24" t="n">
        <v>27820</v>
      </c>
      <c r="J345" s="24" t="n">
        <v>19500</v>
      </c>
      <c r="K345" s="25" t="n">
        <f aca="false">H345*I345</f>
        <v>55640</v>
      </c>
      <c r="L345" s="25" t="n">
        <f aca="false">H345*(I345-J345)</f>
        <v>16640</v>
      </c>
    </row>
    <row r="346" customFormat="false" ht="15" hidden="false" customHeight="false" outlineLevel="0" collapsed="false">
      <c r="A346" s="21" t="s">
        <v>412</v>
      </c>
      <c r="B346" s="22" t="n">
        <v>46015</v>
      </c>
      <c r="C346" s="23" t="n">
        <f aca="false">YEAR(B346)</f>
        <v>2025</v>
      </c>
      <c r="D346" s="23" t="n">
        <f aca="false">MONTH(B346)</f>
        <v>12</v>
      </c>
      <c r="E346" s="21" t="s">
        <v>48</v>
      </c>
      <c r="F346" s="21" t="s">
        <v>44</v>
      </c>
      <c r="G346" s="21" t="s">
        <v>49</v>
      </c>
      <c r="H346" s="24" t="n">
        <v>1</v>
      </c>
      <c r="I346" s="24" t="n">
        <v>61350</v>
      </c>
      <c r="J346" s="24" t="n">
        <v>48000</v>
      </c>
      <c r="K346" s="25" t="n">
        <f aca="false">H346*I346</f>
        <v>61350</v>
      </c>
      <c r="L346" s="25" t="n">
        <f aca="false">H346*(I346-J346)</f>
        <v>13350</v>
      </c>
    </row>
    <row r="347" customFormat="false" ht="15" hidden="false" customHeight="false" outlineLevel="0" collapsed="false">
      <c r="A347" s="21" t="s">
        <v>413</v>
      </c>
      <c r="B347" s="22" t="n">
        <v>46016</v>
      </c>
      <c r="C347" s="23" t="n">
        <f aca="false">YEAR(B347)</f>
        <v>2025</v>
      </c>
      <c r="D347" s="23" t="n">
        <f aca="false">MONTH(B347)</f>
        <v>12</v>
      </c>
      <c r="E347" s="21" t="s">
        <v>61</v>
      </c>
      <c r="F347" s="21" t="s">
        <v>44</v>
      </c>
      <c r="G347" s="21" t="s">
        <v>49</v>
      </c>
      <c r="H347" s="24" t="n">
        <v>2</v>
      </c>
      <c r="I347" s="24" t="n">
        <v>57880</v>
      </c>
      <c r="J347" s="24" t="n">
        <v>48000</v>
      </c>
      <c r="K347" s="25" t="n">
        <f aca="false">H347*I347</f>
        <v>115760</v>
      </c>
      <c r="L347" s="25" t="n">
        <f aca="false">H347*(I347-J347)</f>
        <v>19760</v>
      </c>
    </row>
    <row r="348" customFormat="false" ht="15" hidden="false" customHeight="false" outlineLevel="0" collapsed="false">
      <c r="A348" s="21" t="s">
        <v>414</v>
      </c>
      <c r="B348" s="22" t="n">
        <v>46016</v>
      </c>
      <c r="C348" s="23" t="n">
        <f aca="false">YEAR(B348)</f>
        <v>2025</v>
      </c>
      <c r="D348" s="23" t="n">
        <f aca="false">MONTH(B348)</f>
        <v>12</v>
      </c>
      <c r="E348" s="21" t="s">
        <v>56</v>
      </c>
      <c r="F348" s="21" t="s">
        <v>62</v>
      </c>
      <c r="G348" s="21" t="s">
        <v>63</v>
      </c>
      <c r="H348" s="24" t="n">
        <v>4</v>
      </c>
      <c r="I348" s="24" t="n">
        <v>27190</v>
      </c>
      <c r="J348" s="24" t="n">
        <v>19500</v>
      </c>
      <c r="K348" s="25" t="n">
        <f aca="false">H348*I348</f>
        <v>108760</v>
      </c>
      <c r="L348" s="25" t="n">
        <f aca="false">H348*(I348-J348)</f>
        <v>30760</v>
      </c>
    </row>
    <row r="349" customFormat="false" ht="15" hidden="false" customHeight="false" outlineLevel="0" collapsed="false">
      <c r="A349" s="21" t="s">
        <v>415</v>
      </c>
      <c r="B349" s="22" t="n">
        <v>46016</v>
      </c>
      <c r="C349" s="23" t="n">
        <f aca="false">YEAR(B349)</f>
        <v>2025</v>
      </c>
      <c r="D349" s="23" t="n">
        <f aca="false">MONTH(B349)</f>
        <v>12</v>
      </c>
      <c r="E349" s="21" t="s">
        <v>48</v>
      </c>
      <c r="F349" s="21" t="s">
        <v>65</v>
      </c>
      <c r="G349" s="21" t="s">
        <v>89</v>
      </c>
      <c r="H349" s="24" t="n">
        <v>14</v>
      </c>
      <c r="I349" s="24" t="n">
        <v>1750</v>
      </c>
      <c r="J349" s="24" t="n">
        <v>500</v>
      </c>
      <c r="K349" s="25" t="n">
        <f aca="false">H349*I349</f>
        <v>24500</v>
      </c>
      <c r="L349" s="25" t="n">
        <f aca="false">H349*(I349-J349)</f>
        <v>17500</v>
      </c>
    </row>
    <row r="350" customFormat="false" ht="15" hidden="false" customHeight="false" outlineLevel="0" collapsed="false">
      <c r="A350" s="21" t="s">
        <v>416</v>
      </c>
      <c r="B350" s="22" t="n">
        <v>46016</v>
      </c>
      <c r="C350" s="23" t="n">
        <f aca="false">YEAR(B350)</f>
        <v>2025</v>
      </c>
      <c r="D350" s="23" t="n">
        <f aca="false">MONTH(B350)</f>
        <v>12</v>
      </c>
      <c r="E350" s="21" t="s">
        <v>56</v>
      </c>
      <c r="F350" s="21" t="s">
        <v>57</v>
      </c>
      <c r="G350" s="21" t="s">
        <v>58</v>
      </c>
      <c r="H350" s="24" t="n">
        <v>22</v>
      </c>
      <c r="I350" s="24" t="n">
        <v>1700</v>
      </c>
      <c r="J350" s="24" t="n">
        <v>1250</v>
      </c>
      <c r="K350" s="25" t="n">
        <f aca="false">H350*I350</f>
        <v>37400</v>
      </c>
      <c r="L350" s="25" t="n">
        <f aca="false">H350*(I350-J350)</f>
        <v>9900</v>
      </c>
    </row>
    <row r="351" customFormat="false" ht="15" hidden="false" customHeight="false" outlineLevel="0" collapsed="false">
      <c r="A351" s="21" t="s">
        <v>417</v>
      </c>
      <c r="B351" s="22" t="n">
        <v>46016</v>
      </c>
      <c r="C351" s="23" t="n">
        <f aca="false">YEAR(B351)</f>
        <v>2025</v>
      </c>
      <c r="D351" s="23" t="n">
        <f aca="false">MONTH(B351)</f>
        <v>12</v>
      </c>
      <c r="E351" s="21" t="s">
        <v>43</v>
      </c>
      <c r="F351" s="21" t="s">
        <v>65</v>
      </c>
      <c r="G351" s="21" t="s">
        <v>89</v>
      </c>
      <c r="H351" s="24" t="n">
        <v>19</v>
      </c>
      <c r="I351" s="24" t="n">
        <v>1750</v>
      </c>
      <c r="J351" s="24" t="n">
        <v>500</v>
      </c>
      <c r="K351" s="25" t="n">
        <f aca="false">H351*I351</f>
        <v>33250</v>
      </c>
      <c r="L351" s="25" t="n">
        <f aca="false">H351*(I351-J351)</f>
        <v>23750</v>
      </c>
    </row>
    <row r="352" customFormat="false" ht="15" hidden="false" customHeight="false" outlineLevel="0" collapsed="false">
      <c r="A352" s="21" t="s">
        <v>418</v>
      </c>
      <c r="B352" s="22" t="n">
        <v>46017</v>
      </c>
      <c r="C352" s="23" t="n">
        <f aca="false">YEAR(B352)</f>
        <v>2025</v>
      </c>
      <c r="D352" s="23" t="n">
        <f aca="false">MONTH(B352)</f>
        <v>12</v>
      </c>
      <c r="E352" s="21" t="s">
        <v>61</v>
      </c>
      <c r="F352" s="21" t="s">
        <v>44</v>
      </c>
      <c r="G352" s="21" t="s">
        <v>45</v>
      </c>
      <c r="H352" s="24" t="n">
        <v>2</v>
      </c>
      <c r="I352" s="24" t="n">
        <v>4560</v>
      </c>
      <c r="J352" s="24" t="n">
        <v>2800</v>
      </c>
      <c r="K352" s="25" t="n">
        <f aca="false">H352*I352</f>
        <v>9120</v>
      </c>
      <c r="L352" s="25" t="n">
        <f aca="false">H352*(I352-J352)</f>
        <v>3520</v>
      </c>
    </row>
    <row r="353" customFormat="false" ht="15" hidden="false" customHeight="false" outlineLevel="0" collapsed="false">
      <c r="A353" s="21" t="s">
        <v>419</v>
      </c>
      <c r="B353" s="22" t="n">
        <v>46018</v>
      </c>
      <c r="C353" s="23" t="n">
        <f aca="false">YEAR(B353)</f>
        <v>2025</v>
      </c>
      <c r="D353" s="23" t="n">
        <f aca="false">MONTH(B353)</f>
        <v>12</v>
      </c>
      <c r="E353" s="21" t="s">
        <v>48</v>
      </c>
      <c r="F353" s="21" t="s">
        <v>65</v>
      </c>
      <c r="G353" s="21" t="s">
        <v>66</v>
      </c>
      <c r="H353" s="24" t="n">
        <v>25</v>
      </c>
      <c r="I353" s="24" t="n">
        <v>4750</v>
      </c>
      <c r="J353" s="24" t="n">
        <v>1900</v>
      </c>
      <c r="K353" s="25" t="n">
        <f aca="false">H353*I353</f>
        <v>118750</v>
      </c>
      <c r="L353" s="25" t="n">
        <f aca="false">H353*(I353-J353)</f>
        <v>71250</v>
      </c>
    </row>
    <row r="354" customFormat="false" ht="15" hidden="false" customHeight="false" outlineLevel="0" collapsed="false">
      <c r="A354" s="21" t="s">
        <v>420</v>
      </c>
      <c r="B354" s="22" t="n">
        <v>46018</v>
      </c>
      <c r="C354" s="23" t="n">
        <f aca="false">YEAR(B354)</f>
        <v>2025</v>
      </c>
      <c r="D354" s="23" t="n">
        <f aca="false">MONTH(B354)</f>
        <v>12</v>
      </c>
      <c r="E354" s="21" t="s">
        <v>56</v>
      </c>
      <c r="F354" s="21" t="s">
        <v>57</v>
      </c>
      <c r="G354" s="21" t="s">
        <v>78</v>
      </c>
      <c r="H354" s="24" t="n">
        <v>25</v>
      </c>
      <c r="I354" s="24" t="n">
        <v>647</v>
      </c>
      <c r="J354" s="24" t="n">
        <v>320</v>
      </c>
      <c r="K354" s="25" t="n">
        <f aca="false">H354*I354</f>
        <v>16175</v>
      </c>
      <c r="L354" s="25" t="n">
        <f aca="false">H354*(I354-J354)</f>
        <v>8175</v>
      </c>
    </row>
    <row r="355" customFormat="false" ht="15" hidden="false" customHeight="false" outlineLevel="0" collapsed="false">
      <c r="A355" s="21" t="s">
        <v>421</v>
      </c>
      <c r="B355" s="22" t="n">
        <v>46019</v>
      </c>
      <c r="C355" s="23" t="n">
        <f aca="false">YEAR(B355)</f>
        <v>2025</v>
      </c>
      <c r="D355" s="23" t="n">
        <f aca="false">MONTH(B355)</f>
        <v>12</v>
      </c>
      <c r="E355" s="21" t="s">
        <v>43</v>
      </c>
      <c r="F355" s="21" t="s">
        <v>44</v>
      </c>
      <c r="G355" s="21" t="s">
        <v>45</v>
      </c>
      <c r="H355" s="24" t="n">
        <v>3</v>
      </c>
      <c r="I355" s="24" t="n">
        <v>4200</v>
      </c>
      <c r="J355" s="24" t="n">
        <v>2800</v>
      </c>
      <c r="K355" s="25" t="n">
        <f aca="false">H355*I355</f>
        <v>12600</v>
      </c>
      <c r="L355" s="25" t="n">
        <f aca="false">H355*(I355-J355)</f>
        <v>4200</v>
      </c>
    </row>
    <row r="356" customFormat="false" ht="15" hidden="false" customHeight="false" outlineLevel="0" collapsed="false">
      <c r="A356" s="21" t="s">
        <v>422</v>
      </c>
      <c r="B356" s="22" t="n">
        <v>46019</v>
      </c>
      <c r="C356" s="23" t="n">
        <f aca="false">YEAR(B356)</f>
        <v>2025</v>
      </c>
      <c r="D356" s="23" t="n">
        <f aca="false">MONTH(B356)</f>
        <v>12</v>
      </c>
      <c r="E356" s="21" t="s">
        <v>76</v>
      </c>
      <c r="F356" s="21" t="s">
        <v>57</v>
      </c>
      <c r="G356" s="21" t="s">
        <v>58</v>
      </c>
      <c r="H356" s="24" t="n">
        <v>5</v>
      </c>
      <c r="I356" s="24" t="n">
        <v>1720</v>
      </c>
      <c r="J356" s="24" t="n">
        <v>1250</v>
      </c>
      <c r="K356" s="25" t="n">
        <f aca="false">H356*I356</f>
        <v>8600</v>
      </c>
      <c r="L356" s="25" t="n">
        <f aca="false">H356*(I356-J356)</f>
        <v>2350</v>
      </c>
    </row>
    <row r="357" customFormat="false" ht="15" hidden="false" customHeight="false" outlineLevel="0" collapsed="false">
      <c r="A357" s="21" t="s">
        <v>423</v>
      </c>
      <c r="B357" s="22" t="n">
        <v>46020</v>
      </c>
      <c r="C357" s="23" t="n">
        <f aca="false">YEAR(B357)</f>
        <v>2025</v>
      </c>
      <c r="D357" s="23" t="n">
        <f aca="false">MONTH(B357)</f>
        <v>12</v>
      </c>
      <c r="E357" s="21" t="s">
        <v>76</v>
      </c>
      <c r="F357" s="21" t="s">
        <v>44</v>
      </c>
      <c r="G357" s="21" t="s">
        <v>49</v>
      </c>
      <c r="H357" s="24" t="n">
        <v>2</v>
      </c>
      <c r="I357" s="24" t="n">
        <v>61740</v>
      </c>
      <c r="J357" s="24" t="n">
        <v>48000</v>
      </c>
      <c r="K357" s="25" t="n">
        <f aca="false">H357*I357</f>
        <v>123480</v>
      </c>
      <c r="L357" s="25" t="n">
        <f aca="false">H357*(I357-J357)</f>
        <v>27480</v>
      </c>
    </row>
    <row r="358" customFormat="false" ht="15" hidden="false" customHeight="false" outlineLevel="0" collapsed="false">
      <c r="A358" s="21" t="s">
        <v>424</v>
      </c>
      <c r="B358" s="22" t="n">
        <v>46020</v>
      </c>
      <c r="C358" s="23" t="n">
        <f aca="false">YEAR(B358)</f>
        <v>2025</v>
      </c>
      <c r="D358" s="23" t="n">
        <f aca="false">MONTH(B358)</f>
        <v>12</v>
      </c>
      <c r="E358" s="21" t="s">
        <v>43</v>
      </c>
      <c r="F358" s="21" t="s">
        <v>57</v>
      </c>
      <c r="G358" s="21" t="s">
        <v>74</v>
      </c>
      <c r="H358" s="24" t="n">
        <v>15</v>
      </c>
      <c r="I358" s="24" t="n">
        <v>347</v>
      </c>
      <c r="J358" s="24" t="n">
        <v>170</v>
      </c>
      <c r="K358" s="25" t="n">
        <f aca="false">H358*I358</f>
        <v>5205</v>
      </c>
      <c r="L358" s="25" t="n">
        <f aca="false">H358*(I358-J358)</f>
        <v>2655</v>
      </c>
    </row>
    <row r="359" customFormat="false" ht="15" hidden="false" customHeight="false" outlineLevel="0" collapsed="false">
      <c r="A359" s="21" t="s">
        <v>425</v>
      </c>
      <c r="B359" s="22" t="n">
        <v>46020</v>
      </c>
      <c r="C359" s="23" t="n">
        <f aca="false">YEAR(B359)</f>
        <v>2025</v>
      </c>
      <c r="D359" s="23" t="n">
        <f aca="false">MONTH(B359)</f>
        <v>12</v>
      </c>
      <c r="E359" s="21" t="s">
        <v>43</v>
      </c>
      <c r="F359" s="21" t="s">
        <v>44</v>
      </c>
      <c r="G359" s="21" t="s">
        <v>69</v>
      </c>
      <c r="H359" s="24" t="n">
        <v>1</v>
      </c>
      <c r="I359" s="24" t="n">
        <v>19850</v>
      </c>
      <c r="J359" s="24" t="n">
        <v>15500</v>
      </c>
      <c r="K359" s="25" t="n">
        <f aca="false">H359*I359</f>
        <v>19850</v>
      </c>
      <c r="L359" s="25" t="n">
        <f aca="false">H359*(I359-J359)</f>
        <v>4350</v>
      </c>
    </row>
    <row r="360" customFormat="false" ht="15" hidden="false" customHeight="false" outlineLevel="0" collapsed="false">
      <c r="A360" s="21" t="s">
        <v>426</v>
      </c>
      <c r="B360" s="22" t="n">
        <v>46021</v>
      </c>
      <c r="C360" s="23" t="n">
        <f aca="false">YEAR(B360)</f>
        <v>2025</v>
      </c>
      <c r="D360" s="23" t="n">
        <f aca="false">MONTH(B360)</f>
        <v>12</v>
      </c>
      <c r="E360" s="21" t="s">
        <v>43</v>
      </c>
      <c r="F360" s="21" t="s">
        <v>65</v>
      </c>
      <c r="G360" s="21" t="s">
        <v>66</v>
      </c>
      <c r="H360" s="24" t="n">
        <v>25</v>
      </c>
      <c r="I360" s="24" t="n">
        <v>4770</v>
      </c>
      <c r="J360" s="24" t="n">
        <v>1900</v>
      </c>
      <c r="K360" s="25" t="n">
        <f aca="false">H360*I360</f>
        <v>119250</v>
      </c>
      <c r="L360" s="25" t="n">
        <f aca="false">H360*(I360-J360)</f>
        <v>71750</v>
      </c>
    </row>
    <row r="361" customFormat="false" ht="15" hidden="false" customHeight="false" outlineLevel="0" collapsed="false">
      <c r="A361" s="21" t="s">
        <v>427</v>
      </c>
      <c r="B361" s="22" t="n">
        <v>46022</v>
      </c>
      <c r="C361" s="23" t="n">
        <f aca="false">YEAR(B361)</f>
        <v>2025</v>
      </c>
      <c r="D361" s="23" t="n">
        <f aca="false">MONTH(B361)</f>
        <v>12</v>
      </c>
      <c r="E361" s="21" t="s">
        <v>56</v>
      </c>
      <c r="F361" s="21" t="s">
        <v>57</v>
      </c>
      <c r="G361" s="21" t="s">
        <v>78</v>
      </c>
      <c r="H361" s="24" t="n">
        <v>30</v>
      </c>
      <c r="I361" s="24" t="n">
        <v>633</v>
      </c>
      <c r="J361" s="24" t="n">
        <v>320</v>
      </c>
      <c r="K361" s="25" t="n">
        <f aca="false">H361*I361</f>
        <v>18990</v>
      </c>
      <c r="L361" s="25" t="n">
        <f aca="false">H361*(I361-J361)</f>
        <v>9390</v>
      </c>
    </row>
    <row r="362" customFormat="false" ht="15" hidden="false" customHeight="false" outlineLevel="0" collapsed="false">
      <c r="A362" s="21" t="s">
        <v>428</v>
      </c>
      <c r="B362" s="22" t="n">
        <v>46022</v>
      </c>
      <c r="C362" s="23" t="n">
        <f aca="false">YEAR(B362)</f>
        <v>2025</v>
      </c>
      <c r="D362" s="23" t="n">
        <f aca="false">MONTH(B362)</f>
        <v>12</v>
      </c>
      <c r="E362" s="21" t="s">
        <v>61</v>
      </c>
      <c r="F362" s="21" t="s">
        <v>65</v>
      </c>
      <c r="G362" s="21" t="s">
        <v>89</v>
      </c>
      <c r="H362" s="24" t="n">
        <v>18</v>
      </c>
      <c r="I362" s="24" t="n">
        <v>1720</v>
      </c>
      <c r="J362" s="24" t="n">
        <v>500</v>
      </c>
      <c r="K362" s="25" t="n">
        <f aca="false">H362*I362</f>
        <v>30960</v>
      </c>
      <c r="L362" s="25" t="n">
        <f aca="false">H362*(I362-J362)</f>
        <v>21960</v>
      </c>
    </row>
    <row r="363" customFormat="false" ht="15" hidden="false" customHeight="false" outlineLevel="0" collapsed="false">
      <c r="A363" s="21" t="s">
        <v>429</v>
      </c>
      <c r="B363" s="22" t="n">
        <v>46022</v>
      </c>
      <c r="C363" s="23" t="n">
        <f aca="false">YEAR(B363)</f>
        <v>2025</v>
      </c>
      <c r="D363" s="23" t="n">
        <f aca="false">MONTH(B363)</f>
        <v>12</v>
      </c>
      <c r="E363" s="21" t="s">
        <v>43</v>
      </c>
      <c r="F363" s="21" t="s">
        <v>62</v>
      </c>
      <c r="G363" s="21" t="s">
        <v>92</v>
      </c>
      <c r="H363" s="24" t="n">
        <v>5</v>
      </c>
      <c r="I363" s="24" t="n">
        <v>14370</v>
      </c>
      <c r="J363" s="24" t="n">
        <v>9000</v>
      </c>
      <c r="K363" s="25" t="n">
        <f aca="false">H363*I363</f>
        <v>71850</v>
      </c>
      <c r="L363" s="25" t="n">
        <f aca="false">H363*(I363-J363)</f>
        <v>26850</v>
      </c>
    </row>
    <row r="364" customFormat="false" ht="15" hidden="false" customHeight="false" outlineLevel="0" collapsed="false">
      <c r="A364" s="21" t="s">
        <v>430</v>
      </c>
      <c r="B364" s="22" t="n">
        <v>46023</v>
      </c>
      <c r="C364" s="23" t="n">
        <f aca="false">YEAR(B364)</f>
        <v>2026</v>
      </c>
      <c r="D364" s="23" t="n">
        <f aca="false">MONTH(B364)</f>
        <v>1</v>
      </c>
      <c r="E364" s="21" t="s">
        <v>76</v>
      </c>
      <c r="F364" s="21" t="s">
        <v>65</v>
      </c>
      <c r="G364" s="21" t="s">
        <v>89</v>
      </c>
      <c r="H364" s="24" t="n">
        <v>15</v>
      </c>
      <c r="I364" s="24" t="n">
        <v>1780</v>
      </c>
      <c r="J364" s="24" t="n">
        <v>500</v>
      </c>
      <c r="K364" s="25" t="n">
        <f aca="false">H364*I364</f>
        <v>26700</v>
      </c>
      <c r="L364" s="25" t="n">
        <f aca="false">H364*(I364-J364)</f>
        <v>19200</v>
      </c>
    </row>
    <row r="365" customFormat="false" ht="15" hidden="false" customHeight="false" outlineLevel="0" collapsed="false">
      <c r="A365" s="21" t="s">
        <v>431</v>
      </c>
      <c r="B365" s="22" t="n">
        <v>46023</v>
      </c>
      <c r="C365" s="23" t="n">
        <f aca="false">YEAR(B365)</f>
        <v>2026</v>
      </c>
      <c r="D365" s="23" t="n">
        <f aca="false">MONTH(B365)</f>
        <v>1</v>
      </c>
      <c r="E365" s="21" t="s">
        <v>48</v>
      </c>
      <c r="F365" s="21" t="s">
        <v>44</v>
      </c>
      <c r="G365" s="21" t="s">
        <v>49</v>
      </c>
      <c r="H365" s="24" t="n">
        <v>3</v>
      </c>
      <c r="I365" s="24" t="n">
        <v>62240</v>
      </c>
      <c r="J365" s="24" t="n">
        <v>48000</v>
      </c>
      <c r="K365" s="25" t="n">
        <f aca="false">H365*I365</f>
        <v>186720</v>
      </c>
      <c r="L365" s="25" t="n">
        <f aca="false">H365*(I365-J365)</f>
        <v>42720</v>
      </c>
    </row>
    <row r="366" customFormat="false" ht="15" hidden="false" customHeight="false" outlineLevel="0" collapsed="false">
      <c r="A366" s="21" t="s">
        <v>432</v>
      </c>
      <c r="B366" s="22" t="n">
        <v>46025</v>
      </c>
      <c r="C366" s="23" t="n">
        <f aca="false">YEAR(B366)</f>
        <v>2026</v>
      </c>
      <c r="D366" s="23" t="n">
        <f aca="false">MONTH(B366)</f>
        <v>1</v>
      </c>
      <c r="E366" s="21" t="s">
        <v>48</v>
      </c>
      <c r="F366" s="21" t="s">
        <v>57</v>
      </c>
      <c r="G366" s="21" t="s">
        <v>74</v>
      </c>
      <c r="H366" s="24" t="n">
        <v>63</v>
      </c>
      <c r="I366" s="24" t="n">
        <v>347</v>
      </c>
      <c r="J366" s="24" t="n">
        <v>170</v>
      </c>
      <c r="K366" s="25" t="n">
        <f aca="false">H366*I366</f>
        <v>21861</v>
      </c>
      <c r="L366" s="25" t="n">
        <f aca="false">H366*(I366-J366)</f>
        <v>11151</v>
      </c>
    </row>
    <row r="367" customFormat="false" ht="15" hidden="false" customHeight="false" outlineLevel="0" collapsed="false">
      <c r="A367" s="21" t="s">
        <v>433</v>
      </c>
      <c r="B367" s="22" t="n">
        <v>46026</v>
      </c>
      <c r="C367" s="23" t="n">
        <f aca="false">YEAR(B367)</f>
        <v>2026</v>
      </c>
      <c r="D367" s="23" t="n">
        <f aca="false">MONTH(B367)</f>
        <v>1</v>
      </c>
      <c r="E367" s="21" t="s">
        <v>43</v>
      </c>
      <c r="F367" s="21" t="s">
        <v>62</v>
      </c>
      <c r="G367" s="21" t="s">
        <v>92</v>
      </c>
      <c r="H367" s="24" t="n">
        <v>5</v>
      </c>
      <c r="I367" s="24" t="n">
        <v>13750</v>
      </c>
      <c r="J367" s="24" t="n">
        <v>9000</v>
      </c>
      <c r="K367" s="25" t="n">
        <f aca="false">H367*I367</f>
        <v>68750</v>
      </c>
      <c r="L367" s="25" t="n">
        <f aca="false">H367*(I367-J367)</f>
        <v>23750</v>
      </c>
    </row>
    <row r="368" customFormat="false" ht="15" hidden="false" customHeight="false" outlineLevel="0" collapsed="false">
      <c r="A368" s="21" t="s">
        <v>434</v>
      </c>
      <c r="B368" s="22" t="n">
        <v>46030</v>
      </c>
      <c r="C368" s="23" t="n">
        <f aca="false">YEAR(B368)</f>
        <v>2026</v>
      </c>
      <c r="D368" s="23" t="n">
        <f aca="false">MONTH(B368)</f>
        <v>1</v>
      </c>
      <c r="E368" s="21" t="s">
        <v>48</v>
      </c>
      <c r="F368" s="21" t="s">
        <v>65</v>
      </c>
      <c r="G368" s="21" t="s">
        <v>81</v>
      </c>
      <c r="H368" s="24" t="n">
        <v>5</v>
      </c>
      <c r="I368" s="24" t="n">
        <v>9680</v>
      </c>
      <c r="J368" s="24" t="n">
        <v>2500</v>
      </c>
      <c r="K368" s="25" t="n">
        <f aca="false">H368*I368</f>
        <v>48400</v>
      </c>
      <c r="L368" s="25" t="n">
        <f aca="false">H368*(I368-J368)</f>
        <v>35900</v>
      </c>
    </row>
    <row r="369" customFormat="false" ht="15" hidden="false" customHeight="false" outlineLevel="0" collapsed="false">
      <c r="A369" s="21" t="s">
        <v>435</v>
      </c>
      <c r="B369" s="22" t="n">
        <v>46032</v>
      </c>
      <c r="C369" s="23" t="n">
        <f aca="false">YEAR(B369)</f>
        <v>2026</v>
      </c>
      <c r="D369" s="23" t="n">
        <f aca="false">MONTH(B369)</f>
        <v>1</v>
      </c>
      <c r="E369" s="21" t="s">
        <v>76</v>
      </c>
      <c r="F369" s="21" t="s">
        <v>65</v>
      </c>
      <c r="G369" s="21" t="s">
        <v>89</v>
      </c>
      <c r="H369" s="24" t="n">
        <v>15</v>
      </c>
      <c r="I369" s="24" t="n">
        <v>1780</v>
      </c>
      <c r="J369" s="24" t="n">
        <v>500</v>
      </c>
      <c r="K369" s="25" t="n">
        <f aca="false">H369*I369</f>
        <v>26700</v>
      </c>
      <c r="L369" s="25" t="n">
        <f aca="false">H369*(I369-J369)</f>
        <v>19200</v>
      </c>
    </row>
    <row r="370" customFormat="false" ht="15" hidden="false" customHeight="false" outlineLevel="0" collapsed="false">
      <c r="A370" s="21" t="s">
        <v>436</v>
      </c>
      <c r="B370" s="22" t="n">
        <v>46032</v>
      </c>
      <c r="C370" s="23" t="n">
        <f aca="false">YEAR(B370)</f>
        <v>2026</v>
      </c>
      <c r="D370" s="23" t="n">
        <f aca="false">MONTH(B370)</f>
        <v>1</v>
      </c>
      <c r="E370" s="21" t="s">
        <v>48</v>
      </c>
      <c r="F370" s="21" t="s">
        <v>44</v>
      </c>
      <c r="G370" s="21" t="s">
        <v>45</v>
      </c>
      <c r="H370" s="24" t="n">
        <v>5</v>
      </c>
      <c r="I370" s="24" t="n">
        <v>4350</v>
      </c>
      <c r="J370" s="24" t="n">
        <v>2800</v>
      </c>
      <c r="K370" s="25" t="n">
        <f aca="false">H370*I370</f>
        <v>21750</v>
      </c>
      <c r="L370" s="25" t="n">
        <f aca="false">H370*(I370-J370)</f>
        <v>7750</v>
      </c>
    </row>
    <row r="371" customFormat="false" ht="15" hidden="false" customHeight="false" outlineLevel="0" collapsed="false">
      <c r="A371" s="21" t="s">
        <v>437</v>
      </c>
      <c r="B371" s="22" t="n">
        <v>46037</v>
      </c>
      <c r="C371" s="23" t="n">
        <f aca="false">YEAR(B371)</f>
        <v>2026</v>
      </c>
      <c r="D371" s="23" t="n">
        <f aca="false">MONTH(B371)</f>
        <v>1</v>
      </c>
      <c r="E371" s="21" t="s">
        <v>48</v>
      </c>
      <c r="F371" s="21" t="s">
        <v>44</v>
      </c>
      <c r="G371" s="21" t="s">
        <v>49</v>
      </c>
      <c r="H371" s="24" t="n">
        <v>2</v>
      </c>
      <c r="I371" s="24" t="n">
        <v>58290</v>
      </c>
      <c r="J371" s="24" t="n">
        <v>48000</v>
      </c>
      <c r="K371" s="25" t="n">
        <f aca="false">H371*I371</f>
        <v>116580</v>
      </c>
      <c r="L371" s="25" t="n">
        <f aca="false">H371*(I371-J371)</f>
        <v>20580</v>
      </c>
    </row>
    <row r="372" customFormat="false" ht="15" hidden="false" customHeight="false" outlineLevel="0" collapsed="false">
      <c r="A372" s="21" t="s">
        <v>438</v>
      </c>
      <c r="B372" s="22" t="n">
        <v>46039</v>
      </c>
      <c r="C372" s="23" t="n">
        <f aca="false">YEAR(B372)</f>
        <v>2026</v>
      </c>
      <c r="D372" s="23" t="n">
        <f aca="false">MONTH(B372)</f>
        <v>1</v>
      </c>
      <c r="E372" s="21" t="s">
        <v>43</v>
      </c>
      <c r="F372" s="21" t="s">
        <v>57</v>
      </c>
      <c r="G372" s="21" t="s">
        <v>74</v>
      </c>
      <c r="H372" s="24" t="n">
        <v>44</v>
      </c>
      <c r="I372" s="24" t="n">
        <v>346</v>
      </c>
      <c r="J372" s="24" t="n">
        <v>170</v>
      </c>
      <c r="K372" s="25" t="n">
        <f aca="false">H372*I372</f>
        <v>15224</v>
      </c>
      <c r="L372" s="25" t="n">
        <f aca="false">H372*(I372-J372)</f>
        <v>7744</v>
      </c>
    </row>
    <row r="373" customFormat="false" ht="15" hidden="false" customHeight="false" outlineLevel="0" collapsed="false">
      <c r="A373" s="21" t="s">
        <v>439</v>
      </c>
      <c r="B373" s="22" t="n">
        <v>46041</v>
      </c>
      <c r="C373" s="23" t="n">
        <f aca="false">YEAR(B373)</f>
        <v>2026</v>
      </c>
      <c r="D373" s="23" t="n">
        <f aca="false">MONTH(B373)</f>
        <v>1</v>
      </c>
      <c r="E373" s="21" t="s">
        <v>43</v>
      </c>
      <c r="F373" s="21" t="s">
        <v>57</v>
      </c>
      <c r="G373" s="21" t="s">
        <v>58</v>
      </c>
      <c r="H373" s="24" t="n">
        <v>7</v>
      </c>
      <c r="I373" s="24" t="n">
        <v>1710</v>
      </c>
      <c r="J373" s="24" t="n">
        <v>1250</v>
      </c>
      <c r="K373" s="25" t="n">
        <f aca="false">H373*I373</f>
        <v>11970</v>
      </c>
      <c r="L373" s="25" t="n">
        <f aca="false">H373*(I373-J373)</f>
        <v>3220</v>
      </c>
    </row>
    <row r="374" customFormat="false" ht="15" hidden="false" customHeight="false" outlineLevel="0" collapsed="false">
      <c r="A374" s="21" t="s">
        <v>440</v>
      </c>
      <c r="B374" s="22" t="n">
        <v>46042</v>
      </c>
      <c r="C374" s="23" t="n">
        <f aca="false">YEAR(B374)</f>
        <v>2026</v>
      </c>
      <c r="D374" s="23" t="n">
        <f aca="false">MONTH(B374)</f>
        <v>1</v>
      </c>
      <c r="E374" s="21" t="s">
        <v>56</v>
      </c>
      <c r="F374" s="21" t="s">
        <v>57</v>
      </c>
      <c r="G374" s="21" t="s">
        <v>74</v>
      </c>
      <c r="H374" s="24" t="n">
        <v>37</v>
      </c>
      <c r="I374" s="24" t="n">
        <v>349</v>
      </c>
      <c r="J374" s="24" t="n">
        <v>170</v>
      </c>
      <c r="K374" s="25" t="n">
        <f aca="false">H374*I374</f>
        <v>12913</v>
      </c>
      <c r="L374" s="25" t="n">
        <f aca="false">H374*(I374-J374)</f>
        <v>6623</v>
      </c>
    </row>
    <row r="375" customFormat="false" ht="15" hidden="false" customHeight="false" outlineLevel="0" collapsed="false">
      <c r="A375" s="21" t="s">
        <v>441</v>
      </c>
      <c r="B375" s="22" t="n">
        <v>46043</v>
      </c>
      <c r="C375" s="23" t="n">
        <f aca="false">YEAR(B375)</f>
        <v>2026</v>
      </c>
      <c r="D375" s="23" t="n">
        <f aca="false">MONTH(B375)</f>
        <v>1</v>
      </c>
      <c r="E375" s="21" t="s">
        <v>48</v>
      </c>
      <c r="F375" s="21" t="s">
        <v>65</v>
      </c>
      <c r="G375" s="21" t="s">
        <v>89</v>
      </c>
      <c r="H375" s="24" t="n">
        <v>2</v>
      </c>
      <c r="I375" s="24" t="n">
        <v>1720</v>
      </c>
      <c r="J375" s="24" t="n">
        <v>500</v>
      </c>
      <c r="K375" s="25" t="n">
        <f aca="false">H375*I375</f>
        <v>3440</v>
      </c>
      <c r="L375" s="25" t="n">
        <f aca="false">H375*(I375-J375)</f>
        <v>2440</v>
      </c>
    </row>
    <row r="376" customFormat="false" ht="15" hidden="false" customHeight="false" outlineLevel="0" collapsed="false">
      <c r="A376" s="21" t="s">
        <v>442</v>
      </c>
      <c r="B376" s="22" t="n">
        <v>46044</v>
      </c>
      <c r="C376" s="23" t="n">
        <f aca="false">YEAR(B376)</f>
        <v>2026</v>
      </c>
      <c r="D376" s="23" t="n">
        <f aca="false">MONTH(B376)</f>
        <v>1</v>
      </c>
      <c r="E376" s="21" t="s">
        <v>56</v>
      </c>
      <c r="F376" s="21" t="s">
        <v>44</v>
      </c>
      <c r="G376" s="21" t="s">
        <v>45</v>
      </c>
      <c r="H376" s="24" t="n">
        <v>9</v>
      </c>
      <c r="I376" s="24" t="n">
        <v>4640</v>
      </c>
      <c r="J376" s="24" t="n">
        <v>2800</v>
      </c>
      <c r="K376" s="25" t="n">
        <f aca="false">H376*I376</f>
        <v>41760</v>
      </c>
      <c r="L376" s="25" t="n">
        <f aca="false">H376*(I376-J376)</f>
        <v>16560</v>
      </c>
    </row>
    <row r="377" customFormat="false" ht="15" hidden="false" customHeight="false" outlineLevel="0" collapsed="false">
      <c r="A377" s="21" t="s">
        <v>443</v>
      </c>
      <c r="B377" s="22" t="n">
        <v>46045</v>
      </c>
      <c r="C377" s="23" t="n">
        <f aca="false">YEAR(B377)</f>
        <v>2026</v>
      </c>
      <c r="D377" s="23" t="n">
        <f aca="false">MONTH(B377)</f>
        <v>1</v>
      </c>
      <c r="E377" s="21" t="s">
        <v>56</v>
      </c>
      <c r="F377" s="21" t="s">
        <v>57</v>
      </c>
      <c r="G377" s="21" t="s">
        <v>74</v>
      </c>
      <c r="H377" s="24" t="n">
        <v>60</v>
      </c>
      <c r="I377" s="24" t="n">
        <v>365</v>
      </c>
      <c r="J377" s="24" t="n">
        <v>170</v>
      </c>
      <c r="K377" s="25" t="n">
        <f aca="false">H377*I377</f>
        <v>21900</v>
      </c>
      <c r="L377" s="25" t="n">
        <f aca="false">H377*(I377-J377)</f>
        <v>11700</v>
      </c>
    </row>
    <row r="378" customFormat="false" ht="15" hidden="false" customHeight="false" outlineLevel="0" collapsed="false">
      <c r="A378" s="21" t="s">
        <v>444</v>
      </c>
      <c r="B378" s="22" t="n">
        <v>46046</v>
      </c>
      <c r="C378" s="23" t="n">
        <f aca="false">YEAR(B378)</f>
        <v>2026</v>
      </c>
      <c r="D378" s="23" t="n">
        <f aca="false">MONTH(B378)</f>
        <v>1</v>
      </c>
      <c r="E378" s="21" t="s">
        <v>56</v>
      </c>
      <c r="F378" s="21" t="s">
        <v>57</v>
      </c>
      <c r="G378" s="21" t="s">
        <v>78</v>
      </c>
      <c r="H378" s="24" t="n">
        <v>34</v>
      </c>
      <c r="I378" s="24" t="n">
        <v>648</v>
      </c>
      <c r="J378" s="24" t="n">
        <v>320</v>
      </c>
      <c r="K378" s="25" t="n">
        <f aca="false">H378*I378</f>
        <v>22032</v>
      </c>
      <c r="L378" s="25" t="n">
        <f aca="false">H378*(I378-J378)</f>
        <v>11152</v>
      </c>
    </row>
    <row r="379" customFormat="false" ht="15" hidden="false" customHeight="false" outlineLevel="0" collapsed="false">
      <c r="A379" s="21" t="s">
        <v>445</v>
      </c>
      <c r="B379" s="22" t="n">
        <v>46047</v>
      </c>
      <c r="C379" s="23" t="n">
        <f aca="false">YEAR(B379)</f>
        <v>2026</v>
      </c>
      <c r="D379" s="23" t="n">
        <f aca="false">MONTH(B379)</f>
        <v>1</v>
      </c>
      <c r="E379" s="21" t="s">
        <v>48</v>
      </c>
      <c r="F379" s="21" t="s">
        <v>57</v>
      </c>
      <c r="G379" s="21" t="s">
        <v>58</v>
      </c>
      <c r="H379" s="24" t="n">
        <v>16</v>
      </c>
      <c r="I379" s="24" t="n">
        <v>1780</v>
      </c>
      <c r="J379" s="24" t="n">
        <v>1250</v>
      </c>
      <c r="K379" s="25" t="n">
        <f aca="false">H379*I379</f>
        <v>28480</v>
      </c>
      <c r="L379" s="25" t="n">
        <f aca="false">H379*(I379-J379)</f>
        <v>8480</v>
      </c>
    </row>
    <row r="380" customFormat="false" ht="15" hidden="false" customHeight="false" outlineLevel="0" collapsed="false">
      <c r="A380" s="21" t="s">
        <v>446</v>
      </c>
      <c r="B380" s="22" t="n">
        <v>46047</v>
      </c>
      <c r="C380" s="23" t="n">
        <f aca="false">YEAR(B380)</f>
        <v>2026</v>
      </c>
      <c r="D380" s="23" t="n">
        <f aca="false">MONTH(B380)</f>
        <v>1</v>
      </c>
      <c r="E380" s="21" t="s">
        <v>43</v>
      </c>
      <c r="F380" s="21" t="s">
        <v>57</v>
      </c>
      <c r="G380" s="21" t="s">
        <v>78</v>
      </c>
      <c r="H380" s="24" t="n">
        <v>56</v>
      </c>
      <c r="I380" s="24" t="n">
        <v>648</v>
      </c>
      <c r="J380" s="24" t="n">
        <v>320</v>
      </c>
      <c r="K380" s="25" t="n">
        <f aca="false">H380*I380</f>
        <v>36288</v>
      </c>
      <c r="L380" s="25" t="n">
        <f aca="false">H380*(I380-J380)</f>
        <v>18368</v>
      </c>
    </row>
    <row r="381" customFormat="false" ht="15" hidden="false" customHeight="false" outlineLevel="0" collapsed="false">
      <c r="A381" s="21" t="s">
        <v>447</v>
      </c>
      <c r="B381" s="22" t="n">
        <v>46047</v>
      </c>
      <c r="C381" s="23" t="n">
        <f aca="false">YEAR(B381)</f>
        <v>2026</v>
      </c>
      <c r="D381" s="23" t="n">
        <f aca="false">MONTH(B381)</f>
        <v>1</v>
      </c>
      <c r="E381" s="21" t="s">
        <v>61</v>
      </c>
      <c r="F381" s="21" t="s">
        <v>65</v>
      </c>
      <c r="G381" s="21" t="s">
        <v>81</v>
      </c>
      <c r="H381" s="24" t="n">
        <v>12</v>
      </c>
      <c r="I381" s="24" t="n">
        <v>9160</v>
      </c>
      <c r="J381" s="24" t="n">
        <v>2500</v>
      </c>
      <c r="K381" s="25" t="n">
        <f aca="false">H381*I381</f>
        <v>109920</v>
      </c>
      <c r="L381" s="25" t="n">
        <f aca="false">H381*(I381-J381)</f>
        <v>79920</v>
      </c>
    </row>
    <row r="382" customFormat="false" ht="15" hidden="false" customHeight="false" outlineLevel="0" collapsed="false">
      <c r="A382" s="21" t="s">
        <v>448</v>
      </c>
      <c r="B382" s="22" t="n">
        <v>46047</v>
      </c>
      <c r="C382" s="23" t="n">
        <f aca="false">YEAR(B382)</f>
        <v>2026</v>
      </c>
      <c r="D382" s="23" t="n">
        <f aca="false">MONTH(B382)</f>
        <v>1</v>
      </c>
      <c r="E382" s="21" t="s">
        <v>56</v>
      </c>
      <c r="F382" s="21" t="s">
        <v>44</v>
      </c>
      <c r="G382" s="21" t="s">
        <v>49</v>
      </c>
      <c r="H382" s="24" t="n">
        <v>3</v>
      </c>
      <c r="I382" s="24" t="n">
        <v>58660</v>
      </c>
      <c r="J382" s="24" t="n">
        <v>48000</v>
      </c>
      <c r="K382" s="25" t="n">
        <f aca="false">H382*I382</f>
        <v>175980</v>
      </c>
      <c r="L382" s="25" t="n">
        <f aca="false">H382*(I382-J382)</f>
        <v>31980</v>
      </c>
    </row>
    <row r="383" customFormat="false" ht="15" hidden="false" customHeight="false" outlineLevel="0" collapsed="false">
      <c r="A383" s="21" t="s">
        <v>449</v>
      </c>
      <c r="B383" s="22" t="n">
        <v>46050</v>
      </c>
      <c r="C383" s="23" t="n">
        <f aca="false">YEAR(B383)</f>
        <v>2026</v>
      </c>
      <c r="D383" s="23" t="n">
        <f aca="false">MONTH(B383)</f>
        <v>1</v>
      </c>
      <c r="E383" s="21" t="s">
        <v>61</v>
      </c>
      <c r="F383" s="21" t="s">
        <v>44</v>
      </c>
      <c r="G383" s="21" t="s">
        <v>69</v>
      </c>
      <c r="H383" s="24" t="n">
        <v>5</v>
      </c>
      <c r="I383" s="24" t="n">
        <v>21190</v>
      </c>
      <c r="J383" s="24" t="n">
        <v>15500</v>
      </c>
      <c r="K383" s="25" t="n">
        <f aca="false">H383*I383</f>
        <v>105950</v>
      </c>
      <c r="L383" s="25" t="n">
        <f aca="false">H383*(I383-J383)</f>
        <v>28450</v>
      </c>
    </row>
    <row r="384" customFormat="false" ht="15" hidden="false" customHeight="false" outlineLevel="0" collapsed="false">
      <c r="A384" s="21" t="s">
        <v>450</v>
      </c>
      <c r="B384" s="22" t="n">
        <v>46051</v>
      </c>
      <c r="C384" s="23" t="n">
        <f aca="false">YEAR(B384)</f>
        <v>2026</v>
      </c>
      <c r="D384" s="23" t="n">
        <f aca="false">MONTH(B384)</f>
        <v>1</v>
      </c>
      <c r="E384" s="21" t="s">
        <v>43</v>
      </c>
      <c r="F384" s="21" t="s">
        <v>44</v>
      </c>
      <c r="G384" s="21" t="s">
        <v>69</v>
      </c>
      <c r="H384" s="24" t="n">
        <v>2</v>
      </c>
      <c r="I384" s="24" t="n">
        <v>20410</v>
      </c>
      <c r="J384" s="24" t="n">
        <v>15500</v>
      </c>
      <c r="K384" s="25" t="n">
        <f aca="false">H384*I384</f>
        <v>40820</v>
      </c>
      <c r="L384" s="25" t="n">
        <f aca="false">H384*(I384-J384)</f>
        <v>9820</v>
      </c>
    </row>
    <row r="385" customFormat="false" ht="15" hidden="false" customHeight="false" outlineLevel="0" collapsed="false">
      <c r="A385" s="21" t="s">
        <v>451</v>
      </c>
      <c r="B385" s="22" t="n">
        <v>46055</v>
      </c>
      <c r="C385" s="23" t="n">
        <f aca="false">YEAR(B385)</f>
        <v>2026</v>
      </c>
      <c r="D385" s="23" t="n">
        <f aca="false">MONTH(B385)</f>
        <v>2</v>
      </c>
      <c r="E385" s="21" t="s">
        <v>48</v>
      </c>
      <c r="F385" s="21" t="s">
        <v>65</v>
      </c>
      <c r="G385" s="21" t="s">
        <v>81</v>
      </c>
      <c r="H385" s="24" t="n">
        <v>11</v>
      </c>
      <c r="I385" s="24" t="n">
        <v>9100</v>
      </c>
      <c r="J385" s="24" t="n">
        <v>2500</v>
      </c>
      <c r="K385" s="25" t="n">
        <f aca="false">H385*I385</f>
        <v>100100</v>
      </c>
      <c r="L385" s="25" t="n">
        <f aca="false">H385*(I385-J385)</f>
        <v>72600</v>
      </c>
    </row>
    <row r="386" customFormat="false" ht="15" hidden="false" customHeight="false" outlineLevel="0" collapsed="false">
      <c r="A386" s="21" t="s">
        <v>452</v>
      </c>
      <c r="B386" s="22" t="n">
        <v>46055</v>
      </c>
      <c r="C386" s="23" t="n">
        <f aca="false">YEAR(B386)</f>
        <v>2026</v>
      </c>
      <c r="D386" s="23" t="n">
        <f aca="false">MONTH(B386)</f>
        <v>2</v>
      </c>
      <c r="E386" s="21" t="s">
        <v>61</v>
      </c>
      <c r="F386" s="21" t="s">
        <v>65</v>
      </c>
      <c r="G386" s="21" t="s">
        <v>81</v>
      </c>
      <c r="H386" s="24" t="n">
        <v>16</v>
      </c>
      <c r="I386" s="24" t="n">
        <v>9320</v>
      </c>
      <c r="J386" s="24" t="n">
        <v>2500</v>
      </c>
      <c r="K386" s="25" t="n">
        <f aca="false">H386*I386</f>
        <v>149120</v>
      </c>
      <c r="L386" s="25" t="n">
        <f aca="false">H386*(I386-J386)</f>
        <v>109120</v>
      </c>
    </row>
    <row r="387" customFormat="false" ht="15" hidden="false" customHeight="false" outlineLevel="0" collapsed="false">
      <c r="A387" s="21" t="s">
        <v>453</v>
      </c>
      <c r="B387" s="22" t="n">
        <v>46056</v>
      </c>
      <c r="C387" s="23" t="n">
        <f aca="false">YEAR(B387)</f>
        <v>2026</v>
      </c>
      <c r="D387" s="23" t="n">
        <f aca="false">MONTH(B387)</f>
        <v>2</v>
      </c>
      <c r="E387" s="21" t="s">
        <v>48</v>
      </c>
      <c r="F387" s="21" t="s">
        <v>57</v>
      </c>
      <c r="G387" s="21" t="s">
        <v>74</v>
      </c>
      <c r="H387" s="24" t="n">
        <v>27</v>
      </c>
      <c r="I387" s="24" t="n">
        <v>358</v>
      </c>
      <c r="J387" s="24" t="n">
        <v>170</v>
      </c>
      <c r="K387" s="25" t="n">
        <f aca="false">H387*I387</f>
        <v>9666</v>
      </c>
      <c r="L387" s="25" t="n">
        <f aca="false">H387*(I387-J387)</f>
        <v>5076</v>
      </c>
    </row>
    <row r="388" customFormat="false" ht="15" hidden="false" customHeight="false" outlineLevel="0" collapsed="false">
      <c r="A388" s="21" t="s">
        <v>454</v>
      </c>
      <c r="B388" s="22" t="n">
        <v>46059</v>
      </c>
      <c r="C388" s="23" t="n">
        <f aca="false">YEAR(B388)</f>
        <v>2026</v>
      </c>
      <c r="D388" s="23" t="n">
        <f aca="false">MONTH(B388)</f>
        <v>2</v>
      </c>
      <c r="E388" s="21" t="s">
        <v>61</v>
      </c>
      <c r="F388" s="21" t="s">
        <v>57</v>
      </c>
      <c r="G388" s="21" t="s">
        <v>78</v>
      </c>
      <c r="H388" s="24" t="n">
        <v>44</v>
      </c>
      <c r="I388" s="24" t="n">
        <v>682</v>
      </c>
      <c r="J388" s="24" t="n">
        <v>320</v>
      </c>
      <c r="K388" s="25" t="n">
        <f aca="false">H388*I388</f>
        <v>30008</v>
      </c>
      <c r="L388" s="25" t="n">
        <f aca="false">H388*(I388-J388)</f>
        <v>15928</v>
      </c>
    </row>
    <row r="389" customFormat="false" ht="15" hidden="false" customHeight="false" outlineLevel="0" collapsed="false">
      <c r="A389" s="21" t="s">
        <v>455</v>
      </c>
      <c r="B389" s="22" t="n">
        <v>46061</v>
      </c>
      <c r="C389" s="23" t="n">
        <f aca="false">YEAR(B389)</f>
        <v>2026</v>
      </c>
      <c r="D389" s="23" t="n">
        <f aca="false">MONTH(B389)</f>
        <v>2</v>
      </c>
      <c r="E389" s="21" t="s">
        <v>76</v>
      </c>
      <c r="F389" s="21" t="s">
        <v>65</v>
      </c>
      <c r="G389" s="21" t="s">
        <v>66</v>
      </c>
      <c r="H389" s="24" t="n">
        <v>4</v>
      </c>
      <c r="I389" s="24" t="n">
        <v>4960</v>
      </c>
      <c r="J389" s="24" t="n">
        <v>1900</v>
      </c>
      <c r="K389" s="25" t="n">
        <f aca="false">H389*I389</f>
        <v>19840</v>
      </c>
      <c r="L389" s="25" t="n">
        <f aca="false">H389*(I389-J389)</f>
        <v>12240</v>
      </c>
    </row>
    <row r="390" customFormat="false" ht="15" hidden="false" customHeight="false" outlineLevel="0" collapsed="false">
      <c r="A390" s="21" t="s">
        <v>456</v>
      </c>
      <c r="B390" s="22" t="n">
        <v>46062</v>
      </c>
      <c r="C390" s="23" t="n">
        <f aca="false">YEAR(B390)</f>
        <v>2026</v>
      </c>
      <c r="D390" s="23" t="n">
        <f aca="false">MONTH(B390)</f>
        <v>2</v>
      </c>
      <c r="E390" s="21" t="s">
        <v>56</v>
      </c>
      <c r="F390" s="21" t="s">
        <v>57</v>
      </c>
      <c r="G390" s="21" t="s">
        <v>58</v>
      </c>
      <c r="H390" s="24" t="n">
        <v>18</v>
      </c>
      <c r="I390" s="24" t="n">
        <v>1700</v>
      </c>
      <c r="J390" s="24" t="n">
        <v>1250</v>
      </c>
      <c r="K390" s="25" t="n">
        <f aca="false">H390*I390</f>
        <v>30600</v>
      </c>
      <c r="L390" s="25" t="n">
        <f aca="false">H390*(I390-J390)</f>
        <v>8100</v>
      </c>
    </row>
    <row r="391" customFormat="false" ht="15" hidden="false" customHeight="false" outlineLevel="0" collapsed="false">
      <c r="A391" s="21" t="s">
        <v>457</v>
      </c>
      <c r="B391" s="22" t="n">
        <v>46062</v>
      </c>
      <c r="C391" s="23" t="n">
        <f aca="false">YEAR(B391)</f>
        <v>2026</v>
      </c>
      <c r="D391" s="23" t="n">
        <f aca="false">MONTH(B391)</f>
        <v>2</v>
      </c>
      <c r="E391" s="21" t="s">
        <v>43</v>
      </c>
      <c r="F391" s="21" t="s">
        <v>57</v>
      </c>
      <c r="G391" s="21" t="s">
        <v>58</v>
      </c>
      <c r="H391" s="24" t="n">
        <v>9</v>
      </c>
      <c r="I391" s="24" t="n">
        <v>1680</v>
      </c>
      <c r="J391" s="24" t="n">
        <v>1250</v>
      </c>
      <c r="K391" s="25" t="n">
        <f aca="false">H391*I391</f>
        <v>15120</v>
      </c>
      <c r="L391" s="25" t="n">
        <f aca="false">H391*(I391-J391)</f>
        <v>3870</v>
      </c>
    </row>
    <row r="392" customFormat="false" ht="15" hidden="false" customHeight="false" outlineLevel="0" collapsed="false">
      <c r="A392" s="21" t="s">
        <v>458</v>
      </c>
      <c r="B392" s="22" t="n">
        <v>46063</v>
      </c>
      <c r="C392" s="23" t="n">
        <f aca="false">YEAR(B392)</f>
        <v>2026</v>
      </c>
      <c r="D392" s="23" t="n">
        <f aca="false">MONTH(B392)</f>
        <v>2</v>
      </c>
      <c r="E392" s="21" t="s">
        <v>48</v>
      </c>
      <c r="F392" s="21" t="s">
        <v>57</v>
      </c>
      <c r="G392" s="21" t="s">
        <v>78</v>
      </c>
      <c r="H392" s="24" t="n">
        <v>49</v>
      </c>
      <c r="I392" s="24" t="n">
        <v>659</v>
      </c>
      <c r="J392" s="24" t="n">
        <v>320</v>
      </c>
      <c r="K392" s="25" t="n">
        <f aca="false">H392*I392</f>
        <v>32291</v>
      </c>
      <c r="L392" s="25" t="n">
        <f aca="false">H392*(I392-J392)</f>
        <v>16611</v>
      </c>
    </row>
    <row r="393" customFormat="false" ht="15" hidden="false" customHeight="false" outlineLevel="0" collapsed="false">
      <c r="A393" s="21" t="s">
        <v>459</v>
      </c>
      <c r="B393" s="22" t="n">
        <v>46064</v>
      </c>
      <c r="C393" s="23" t="n">
        <f aca="false">YEAR(B393)</f>
        <v>2026</v>
      </c>
      <c r="D393" s="23" t="n">
        <f aca="false">MONTH(B393)</f>
        <v>2</v>
      </c>
      <c r="E393" s="21" t="s">
        <v>61</v>
      </c>
      <c r="F393" s="21" t="s">
        <v>65</v>
      </c>
      <c r="G393" s="21" t="s">
        <v>66</v>
      </c>
      <c r="H393" s="24" t="n">
        <v>23</v>
      </c>
      <c r="I393" s="24" t="n">
        <v>4720</v>
      </c>
      <c r="J393" s="24" t="n">
        <v>1900</v>
      </c>
      <c r="K393" s="25" t="n">
        <f aca="false">H393*I393</f>
        <v>108560</v>
      </c>
      <c r="L393" s="25" t="n">
        <f aca="false">H393*(I393-J393)</f>
        <v>64860</v>
      </c>
    </row>
    <row r="394" customFormat="false" ht="15" hidden="false" customHeight="false" outlineLevel="0" collapsed="false">
      <c r="A394" s="21" t="s">
        <v>460</v>
      </c>
      <c r="B394" s="22" t="n">
        <v>46065</v>
      </c>
      <c r="C394" s="23" t="n">
        <f aca="false">YEAR(B394)</f>
        <v>2026</v>
      </c>
      <c r="D394" s="23" t="n">
        <f aca="false">MONTH(B394)</f>
        <v>2</v>
      </c>
      <c r="E394" s="21" t="s">
        <v>76</v>
      </c>
      <c r="F394" s="21" t="s">
        <v>44</v>
      </c>
      <c r="G394" s="21" t="s">
        <v>49</v>
      </c>
      <c r="H394" s="24" t="n">
        <v>1</v>
      </c>
      <c r="I394" s="24" t="n">
        <v>57770</v>
      </c>
      <c r="J394" s="24" t="n">
        <v>48000</v>
      </c>
      <c r="K394" s="25" t="n">
        <f aca="false">H394*I394</f>
        <v>57770</v>
      </c>
      <c r="L394" s="25" t="n">
        <f aca="false">H394*(I394-J394)</f>
        <v>9770</v>
      </c>
    </row>
    <row r="395" customFormat="false" ht="15" hidden="false" customHeight="false" outlineLevel="0" collapsed="false">
      <c r="A395" s="21" t="s">
        <v>461</v>
      </c>
      <c r="B395" s="22" t="n">
        <v>46065</v>
      </c>
      <c r="C395" s="23" t="n">
        <f aca="false">YEAR(B395)</f>
        <v>2026</v>
      </c>
      <c r="D395" s="23" t="n">
        <f aca="false">MONTH(B395)</f>
        <v>2</v>
      </c>
      <c r="E395" s="21" t="s">
        <v>76</v>
      </c>
      <c r="F395" s="21" t="s">
        <v>57</v>
      </c>
      <c r="G395" s="21" t="s">
        <v>74</v>
      </c>
      <c r="H395" s="24" t="n">
        <v>46</v>
      </c>
      <c r="I395" s="24" t="n">
        <v>333</v>
      </c>
      <c r="J395" s="24" t="n">
        <v>170</v>
      </c>
      <c r="K395" s="25" t="n">
        <f aca="false">H395*I395</f>
        <v>15318</v>
      </c>
      <c r="L395" s="25" t="n">
        <f aca="false">H395*(I395-J395)</f>
        <v>7498</v>
      </c>
    </row>
    <row r="396" customFormat="false" ht="15" hidden="false" customHeight="false" outlineLevel="0" collapsed="false">
      <c r="A396" s="21" t="s">
        <v>462</v>
      </c>
      <c r="B396" s="22" t="n">
        <v>46066</v>
      </c>
      <c r="C396" s="23" t="n">
        <f aca="false">YEAR(B396)</f>
        <v>2026</v>
      </c>
      <c r="D396" s="23" t="n">
        <f aca="false">MONTH(B396)</f>
        <v>2</v>
      </c>
      <c r="E396" s="21" t="s">
        <v>56</v>
      </c>
      <c r="F396" s="21" t="s">
        <v>65</v>
      </c>
      <c r="G396" s="21" t="s">
        <v>81</v>
      </c>
      <c r="H396" s="24" t="n">
        <v>6</v>
      </c>
      <c r="I396" s="24" t="n">
        <v>8950</v>
      </c>
      <c r="J396" s="24" t="n">
        <v>2500</v>
      </c>
      <c r="K396" s="25" t="n">
        <f aca="false">H396*I396</f>
        <v>53700</v>
      </c>
      <c r="L396" s="25" t="n">
        <f aca="false">H396*(I396-J396)</f>
        <v>38700</v>
      </c>
    </row>
    <row r="397" customFormat="false" ht="15" hidden="false" customHeight="false" outlineLevel="0" collapsed="false">
      <c r="A397" s="21" t="s">
        <v>463</v>
      </c>
      <c r="B397" s="22" t="n">
        <v>46067</v>
      </c>
      <c r="C397" s="23" t="n">
        <f aca="false">YEAR(B397)</f>
        <v>2026</v>
      </c>
      <c r="D397" s="23" t="n">
        <f aca="false">MONTH(B397)</f>
        <v>2</v>
      </c>
      <c r="E397" s="21" t="s">
        <v>43</v>
      </c>
      <c r="F397" s="21" t="s">
        <v>44</v>
      </c>
      <c r="G397" s="21" t="s">
        <v>45</v>
      </c>
      <c r="H397" s="24" t="n">
        <v>5</v>
      </c>
      <c r="I397" s="24" t="n">
        <v>4490</v>
      </c>
      <c r="J397" s="24" t="n">
        <v>2800</v>
      </c>
      <c r="K397" s="25" t="n">
        <f aca="false">H397*I397</f>
        <v>22450</v>
      </c>
      <c r="L397" s="25" t="n">
        <f aca="false">H397*(I397-J397)</f>
        <v>8450</v>
      </c>
    </row>
    <row r="398" customFormat="false" ht="15" hidden="false" customHeight="false" outlineLevel="0" collapsed="false">
      <c r="A398" s="21" t="s">
        <v>464</v>
      </c>
      <c r="B398" s="22" t="n">
        <v>46068</v>
      </c>
      <c r="C398" s="23" t="n">
        <f aca="false">YEAR(B398)</f>
        <v>2026</v>
      </c>
      <c r="D398" s="23" t="n">
        <f aca="false">MONTH(B398)</f>
        <v>2</v>
      </c>
      <c r="E398" s="21" t="s">
        <v>48</v>
      </c>
      <c r="F398" s="21" t="s">
        <v>44</v>
      </c>
      <c r="G398" s="21" t="s">
        <v>69</v>
      </c>
      <c r="H398" s="24" t="n">
        <v>4</v>
      </c>
      <c r="I398" s="24" t="n">
        <v>19710</v>
      </c>
      <c r="J398" s="24" t="n">
        <v>15500</v>
      </c>
      <c r="K398" s="25" t="n">
        <f aca="false">H398*I398</f>
        <v>78840</v>
      </c>
      <c r="L398" s="25" t="n">
        <f aca="false">H398*(I398-J398)</f>
        <v>16840</v>
      </c>
    </row>
    <row r="399" customFormat="false" ht="15" hidden="false" customHeight="false" outlineLevel="0" collapsed="false">
      <c r="A399" s="21" t="s">
        <v>465</v>
      </c>
      <c r="B399" s="22" t="n">
        <v>46070</v>
      </c>
      <c r="C399" s="23" t="n">
        <f aca="false">YEAR(B399)</f>
        <v>2026</v>
      </c>
      <c r="D399" s="23" t="n">
        <f aca="false">MONTH(B399)</f>
        <v>2</v>
      </c>
      <c r="E399" s="21" t="s">
        <v>48</v>
      </c>
      <c r="F399" s="21" t="s">
        <v>65</v>
      </c>
      <c r="G399" s="21" t="s">
        <v>66</v>
      </c>
      <c r="H399" s="24" t="n">
        <v>9</v>
      </c>
      <c r="I399" s="24" t="n">
        <v>4990</v>
      </c>
      <c r="J399" s="24" t="n">
        <v>1900</v>
      </c>
      <c r="K399" s="25" t="n">
        <f aca="false">H399*I399</f>
        <v>44910</v>
      </c>
      <c r="L399" s="25" t="n">
        <f aca="false">H399*(I399-J399)</f>
        <v>27810</v>
      </c>
    </row>
    <row r="400" customFormat="false" ht="15" hidden="false" customHeight="false" outlineLevel="0" collapsed="false">
      <c r="A400" s="21" t="s">
        <v>466</v>
      </c>
      <c r="B400" s="22" t="n">
        <v>46072</v>
      </c>
      <c r="C400" s="23" t="n">
        <f aca="false">YEAR(B400)</f>
        <v>2026</v>
      </c>
      <c r="D400" s="23" t="n">
        <f aca="false">MONTH(B400)</f>
        <v>2</v>
      </c>
      <c r="E400" s="21" t="s">
        <v>56</v>
      </c>
      <c r="F400" s="21" t="s">
        <v>44</v>
      </c>
      <c r="G400" s="21" t="s">
        <v>69</v>
      </c>
      <c r="H400" s="24" t="n">
        <v>1</v>
      </c>
      <c r="I400" s="24" t="n">
        <v>21040</v>
      </c>
      <c r="J400" s="24" t="n">
        <v>15500</v>
      </c>
      <c r="K400" s="25" t="n">
        <f aca="false">H400*I400</f>
        <v>21040</v>
      </c>
      <c r="L400" s="25" t="n">
        <f aca="false">H400*(I400-J400)</f>
        <v>5540</v>
      </c>
    </row>
    <row r="401" customFormat="false" ht="15" hidden="false" customHeight="false" outlineLevel="0" collapsed="false">
      <c r="A401" s="21" t="s">
        <v>467</v>
      </c>
      <c r="B401" s="22" t="n">
        <v>46073</v>
      </c>
      <c r="C401" s="23" t="n">
        <f aca="false">YEAR(B401)</f>
        <v>2026</v>
      </c>
      <c r="D401" s="23" t="n">
        <f aca="false">MONTH(B401)</f>
        <v>2</v>
      </c>
      <c r="E401" s="21" t="s">
        <v>56</v>
      </c>
      <c r="F401" s="21" t="s">
        <v>65</v>
      </c>
      <c r="G401" s="21" t="s">
        <v>89</v>
      </c>
      <c r="H401" s="24" t="n">
        <v>4</v>
      </c>
      <c r="I401" s="24" t="n">
        <v>1750</v>
      </c>
      <c r="J401" s="24" t="n">
        <v>500</v>
      </c>
      <c r="K401" s="25" t="n">
        <f aca="false">H401*I401</f>
        <v>7000</v>
      </c>
      <c r="L401" s="25" t="n">
        <f aca="false">H401*(I401-J401)</f>
        <v>5000</v>
      </c>
    </row>
    <row r="402" customFormat="false" ht="15" hidden="false" customHeight="false" outlineLevel="0" collapsed="false">
      <c r="A402" s="21" t="s">
        <v>468</v>
      </c>
      <c r="B402" s="22" t="n">
        <v>46074</v>
      </c>
      <c r="C402" s="23" t="n">
        <f aca="false">YEAR(B402)</f>
        <v>2026</v>
      </c>
      <c r="D402" s="23" t="n">
        <f aca="false">MONTH(B402)</f>
        <v>2</v>
      </c>
      <c r="E402" s="21" t="s">
        <v>48</v>
      </c>
      <c r="F402" s="21" t="s">
        <v>62</v>
      </c>
      <c r="G402" s="21" t="s">
        <v>63</v>
      </c>
      <c r="H402" s="24" t="n">
        <v>1</v>
      </c>
      <c r="I402" s="24" t="n">
        <v>28200</v>
      </c>
      <c r="J402" s="24" t="n">
        <v>19500</v>
      </c>
      <c r="K402" s="25" t="n">
        <f aca="false">H402*I402</f>
        <v>28200</v>
      </c>
      <c r="L402" s="25" t="n">
        <f aca="false">H402*(I402-J402)</f>
        <v>8700</v>
      </c>
    </row>
    <row r="403" customFormat="false" ht="15" hidden="false" customHeight="false" outlineLevel="0" collapsed="false">
      <c r="A403" s="21" t="s">
        <v>469</v>
      </c>
      <c r="B403" s="22" t="n">
        <v>46075</v>
      </c>
      <c r="C403" s="23" t="n">
        <f aca="false">YEAR(B403)</f>
        <v>2026</v>
      </c>
      <c r="D403" s="23" t="n">
        <f aca="false">MONTH(B403)</f>
        <v>2</v>
      </c>
      <c r="E403" s="21" t="s">
        <v>56</v>
      </c>
      <c r="F403" s="21" t="s">
        <v>44</v>
      </c>
      <c r="G403" s="21" t="s">
        <v>49</v>
      </c>
      <c r="H403" s="24" t="n">
        <v>3</v>
      </c>
      <c r="I403" s="24" t="n">
        <v>63010</v>
      </c>
      <c r="J403" s="24" t="n">
        <v>48000</v>
      </c>
      <c r="K403" s="25" t="n">
        <f aca="false">H403*I403</f>
        <v>189030</v>
      </c>
      <c r="L403" s="25" t="n">
        <f aca="false">H403*(I403-J403)</f>
        <v>45030</v>
      </c>
    </row>
    <row r="404" customFormat="false" ht="15" hidden="false" customHeight="false" outlineLevel="0" collapsed="false">
      <c r="A404" s="21" t="s">
        <v>470</v>
      </c>
      <c r="B404" s="22" t="n">
        <v>46078</v>
      </c>
      <c r="C404" s="23" t="n">
        <f aca="false">YEAR(B404)</f>
        <v>2026</v>
      </c>
      <c r="D404" s="23" t="n">
        <f aca="false">MONTH(B404)</f>
        <v>2</v>
      </c>
      <c r="E404" s="21" t="s">
        <v>56</v>
      </c>
      <c r="F404" s="21" t="s">
        <v>57</v>
      </c>
      <c r="G404" s="21" t="s">
        <v>78</v>
      </c>
      <c r="H404" s="24" t="n">
        <v>16</v>
      </c>
      <c r="I404" s="24" t="n">
        <v>676</v>
      </c>
      <c r="J404" s="24" t="n">
        <v>320</v>
      </c>
      <c r="K404" s="25" t="n">
        <f aca="false">H404*I404</f>
        <v>10816</v>
      </c>
      <c r="L404" s="25" t="n">
        <f aca="false">H404*(I404-J404)</f>
        <v>5696</v>
      </c>
    </row>
    <row r="405" customFormat="false" ht="15" hidden="false" customHeight="false" outlineLevel="0" collapsed="false">
      <c r="A405" s="21" t="s">
        <v>471</v>
      </c>
      <c r="B405" s="22" t="n">
        <v>46078</v>
      </c>
      <c r="C405" s="23" t="n">
        <f aca="false">YEAR(B405)</f>
        <v>2026</v>
      </c>
      <c r="D405" s="23" t="n">
        <f aca="false">MONTH(B405)</f>
        <v>2</v>
      </c>
      <c r="E405" s="21" t="s">
        <v>43</v>
      </c>
      <c r="F405" s="21" t="s">
        <v>65</v>
      </c>
      <c r="G405" s="21" t="s">
        <v>89</v>
      </c>
      <c r="H405" s="24" t="n">
        <v>30</v>
      </c>
      <c r="I405" s="24" t="n">
        <v>1850</v>
      </c>
      <c r="J405" s="24" t="n">
        <v>500</v>
      </c>
      <c r="K405" s="25" t="n">
        <f aca="false">H405*I405</f>
        <v>55500</v>
      </c>
      <c r="L405" s="25" t="n">
        <f aca="false">H405*(I405-J405)</f>
        <v>40500</v>
      </c>
    </row>
    <row r="406" customFormat="false" ht="15" hidden="false" customHeight="false" outlineLevel="0" collapsed="false">
      <c r="A406" s="21" t="s">
        <v>472</v>
      </c>
      <c r="B406" s="22" t="n">
        <v>46078</v>
      </c>
      <c r="C406" s="23" t="n">
        <f aca="false">YEAR(B406)</f>
        <v>2026</v>
      </c>
      <c r="D406" s="23" t="n">
        <f aca="false">MONTH(B406)</f>
        <v>2</v>
      </c>
      <c r="E406" s="21" t="s">
        <v>48</v>
      </c>
      <c r="F406" s="21" t="s">
        <v>65</v>
      </c>
      <c r="G406" s="21" t="s">
        <v>89</v>
      </c>
      <c r="H406" s="24" t="n">
        <v>3</v>
      </c>
      <c r="I406" s="24" t="n">
        <v>1860</v>
      </c>
      <c r="J406" s="24" t="n">
        <v>500</v>
      </c>
      <c r="K406" s="25" t="n">
        <f aca="false">H406*I406</f>
        <v>5580</v>
      </c>
      <c r="L406" s="25" t="n">
        <f aca="false">H406*(I406-J406)</f>
        <v>4080</v>
      </c>
    </row>
    <row r="407" customFormat="false" ht="15" hidden="false" customHeight="false" outlineLevel="0" collapsed="false">
      <c r="A407" s="21" t="s">
        <v>473</v>
      </c>
      <c r="B407" s="22" t="n">
        <v>46080</v>
      </c>
      <c r="C407" s="23" t="n">
        <f aca="false">YEAR(B407)</f>
        <v>2026</v>
      </c>
      <c r="D407" s="23" t="n">
        <f aca="false">MONTH(B407)</f>
        <v>2</v>
      </c>
      <c r="E407" s="21" t="s">
        <v>48</v>
      </c>
      <c r="F407" s="21" t="s">
        <v>57</v>
      </c>
      <c r="G407" s="21" t="s">
        <v>58</v>
      </c>
      <c r="H407" s="24" t="n">
        <v>22</v>
      </c>
      <c r="I407" s="24" t="n">
        <v>1790</v>
      </c>
      <c r="J407" s="24" t="n">
        <v>1250</v>
      </c>
      <c r="K407" s="25" t="n">
        <f aca="false">H407*I407</f>
        <v>39380</v>
      </c>
      <c r="L407" s="25" t="n">
        <f aca="false">H407*(I407-J407)</f>
        <v>11880</v>
      </c>
    </row>
    <row r="408" customFormat="false" ht="15" hidden="false" customHeight="false" outlineLevel="0" collapsed="false">
      <c r="A408" s="21" t="s">
        <v>474</v>
      </c>
      <c r="B408" s="22" t="n">
        <v>46081</v>
      </c>
      <c r="C408" s="23" t="n">
        <f aca="false">YEAR(B408)</f>
        <v>2026</v>
      </c>
      <c r="D408" s="23" t="n">
        <f aca="false">MONTH(B408)</f>
        <v>2</v>
      </c>
      <c r="E408" s="21" t="s">
        <v>61</v>
      </c>
      <c r="F408" s="21" t="s">
        <v>44</v>
      </c>
      <c r="G408" s="21" t="s">
        <v>49</v>
      </c>
      <c r="H408" s="24" t="n">
        <v>2</v>
      </c>
      <c r="I408" s="24" t="n">
        <v>57770</v>
      </c>
      <c r="J408" s="24" t="n">
        <v>48000</v>
      </c>
      <c r="K408" s="25" t="n">
        <f aca="false">H408*I408</f>
        <v>115540</v>
      </c>
      <c r="L408" s="25" t="n">
        <f aca="false">H408*(I408-J408)</f>
        <v>19540</v>
      </c>
    </row>
    <row r="409" customFormat="false" ht="15" hidden="false" customHeight="false" outlineLevel="0" collapsed="false">
      <c r="A409" s="21" t="s">
        <v>475</v>
      </c>
      <c r="B409" s="22" t="n">
        <v>46082</v>
      </c>
      <c r="C409" s="23" t="n">
        <f aca="false">YEAR(B409)</f>
        <v>2026</v>
      </c>
      <c r="D409" s="23" t="n">
        <f aca="false">MONTH(B409)</f>
        <v>3</v>
      </c>
      <c r="E409" s="21" t="s">
        <v>43</v>
      </c>
      <c r="F409" s="21" t="s">
        <v>44</v>
      </c>
      <c r="G409" s="21" t="s">
        <v>45</v>
      </c>
      <c r="H409" s="24" t="n">
        <v>8</v>
      </c>
      <c r="I409" s="24" t="n">
        <v>4640</v>
      </c>
      <c r="J409" s="24" t="n">
        <v>2800</v>
      </c>
      <c r="K409" s="25" t="n">
        <f aca="false">H409*I409</f>
        <v>37120</v>
      </c>
      <c r="L409" s="25" t="n">
        <f aca="false">H409*(I409-J409)</f>
        <v>14720</v>
      </c>
    </row>
    <row r="410" customFormat="false" ht="15" hidden="false" customHeight="false" outlineLevel="0" collapsed="false">
      <c r="A410" s="21" t="s">
        <v>476</v>
      </c>
      <c r="B410" s="22" t="n">
        <v>46083</v>
      </c>
      <c r="C410" s="23" t="n">
        <f aca="false">YEAR(B410)</f>
        <v>2026</v>
      </c>
      <c r="D410" s="23" t="n">
        <f aca="false">MONTH(B410)</f>
        <v>3</v>
      </c>
      <c r="E410" s="21" t="s">
        <v>76</v>
      </c>
      <c r="F410" s="21" t="s">
        <v>62</v>
      </c>
      <c r="G410" s="21" t="s">
        <v>92</v>
      </c>
      <c r="H410" s="24" t="n">
        <v>5</v>
      </c>
      <c r="I410" s="24" t="n">
        <v>14310</v>
      </c>
      <c r="J410" s="24" t="n">
        <v>9000</v>
      </c>
      <c r="K410" s="25" t="n">
        <f aca="false">H410*I410</f>
        <v>71550</v>
      </c>
      <c r="L410" s="25" t="n">
        <f aca="false">H410*(I410-J410)</f>
        <v>26550</v>
      </c>
    </row>
    <row r="411" customFormat="false" ht="15" hidden="false" customHeight="false" outlineLevel="0" collapsed="false">
      <c r="A411" s="21" t="s">
        <v>477</v>
      </c>
      <c r="B411" s="22" t="n">
        <v>46084</v>
      </c>
      <c r="C411" s="23" t="n">
        <f aca="false">YEAR(B411)</f>
        <v>2026</v>
      </c>
      <c r="D411" s="23" t="n">
        <f aca="false">MONTH(B411)</f>
        <v>3</v>
      </c>
      <c r="E411" s="21" t="s">
        <v>61</v>
      </c>
      <c r="F411" s="21" t="s">
        <v>62</v>
      </c>
      <c r="G411" s="21" t="s">
        <v>63</v>
      </c>
      <c r="H411" s="24" t="n">
        <v>3</v>
      </c>
      <c r="I411" s="24" t="n">
        <v>27220</v>
      </c>
      <c r="J411" s="24" t="n">
        <v>19500</v>
      </c>
      <c r="K411" s="25" t="n">
        <f aca="false">H411*I411</f>
        <v>81660</v>
      </c>
      <c r="L411" s="25" t="n">
        <f aca="false">H411*(I411-J411)</f>
        <v>23160</v>
      </c>
    </row>
    <row r="412" customFormat="false" ht="15" hidden="false" customHeight="false" outlineLevel="0" collapsed="false">
      <c r="A412" s="21" t="s">
        <v>478</v>
      </c>
      <c r="B412" s="22" t="n">
        <v>46084</v>
      </c>
      <c r="C412" s="23" t="n">
        <f aca="false">YEAR(B412)</f>
        <v>2026</v>
      </c>
      <c r="D412" s="23" t="n">
        <f aca="false">MONTH(B412)</f>
        <v>3</v>
      </c>
      <c r="E412" s="21" t="s">
        <v>56</v>
      </c>
      <c r="F412" s="21" t="s">
        <v>57</v>
      </c>
      <c r="G412" s="21" t="s">
        <v>74</v>
      </c>
      <c r="H412" s="24" t="n">
        <v>20</v>
      </c>
      <c r="I412" s="24" t="n">
        <v>350</v>
      </c>
      <c r="J412" s="24" t="n">
        <v>170</v>
      </c>
      <c r="K412" s="25" t="n">
        <f aca="false">H412*I412</f>
        <v>7000</v>
      </c>
      <c r="L412" s="25" t="n">
        <f aca="false">H412*(I412-J412)</f>
        <v>3600</v>
      </c>
    </row>
    <row r="413" customFormat="false" ht="15" hidden="false" customHeight="false" outlineLevel="0" collapsed="false">
      <c r="A413" s="21" t="s">
        <v>479</v>
      </c>
      <c r="B413" s="22" t="n">
        <v>46085</v>
      </c>
      <c r="C413" s="23" t="n">
        <f aca="false">YEAR(B413)</f>
        <v>2026</v>
      </c>
      <c r="D413" s="23" t="n">
        <f aca="false">MONTH(B413)</f>
        <v>3</v>
      </c>
      <c r="E413" s="21" t="s">
        <v>43</v>
      </c>
      <c r="F413" s="21" t="s">
        <v>65</v>
      </c>
      <c r="G413" s="21" t="s">
        <v>66</v>
      </c>
      <c r="H413" s="24" t="n">
        <v>15</v>
      </c>
      <c r="I413" s="24" t="n">
        <v>4590</v>
      </c>
      <c r="J413" s="24" t="n">
        <v>1900</v>
      </c>
      <c r="K413" s="25" t="n">
        <f aca="false">H413*I413</f>
        <v>68850</v>
      </c>
      <c r="L413" s="25" t="n">
        <f aca="false">H413*(I413-J413)</f>
        <v>40350</v>
      </c>
    </row>
    <row r="414" customFormat="false" ht="15" hidden="false" customHeight="false" outlineLevel="0" collapsed="false">
      <c r="A414" s="21" t="s">
        <v>480</v>
      </c>
      <c r="B414" s="22" t="n">
        <v>46085</v>
      </c>
      <c r="C414" s="23" t="n">
        <f aca="false">YEAR(B414)</f>
        <v>2026</v>
      </c>
      <c r="D414" s="23" t="n">
        <f aca="false">MONTH(B414)</f>
        <v>3</v>
      </c>
      <c r="E414" s="21" t="s">
        <v>76</v>
      </c>
      <c r="F414" s="21" t="s">
        <v>44</v>
      </c>
      <c r="G414" s="21" t="s">
        <v>49</v>
      </c>
      <c r="H414" s="24" t="n">
        <v>3</v>
      </c>
      <c r="I414" s="24" t="n">
        <v>64170</v>
      </c>
      <c r="J414" s="24" t="n">
        <v>48000</v>
      </c>
      <c r="K414" s="25" t="n">
        <f aca="false">H414*I414</f>
        <v>192510</v>
      </c>
      <c r="L414" s="25" t="n">
        <f aca="false">H414*(I414-J414)</f>
        <v>48510</v>
      </c>
    </row>
    <row r="415" customFormat="false" ht="15" hidden="false" customHeight="false" outlineLevel="0" collapsed="false">
      <c r="A415" s="21" t="s">
        <v>481</v>
      </c>
      <c r="B415" s="22" t="n">
        <v>46086</v>
      </c>
      <c r="C415" s="23" t="n">
        <f aca="false">YEAR(B415)</f>
        <v>2026</v>
      </c>
      <c r="D415" s="23" t="n">
        <f aca="false">MONTH(B415)</f>
        <v>3</v>
      </c>
      <c r="E415" s="21" t="s">
        <v>56</v>
      </c>
      <c r="F415" s="21" t="s">
        <v>62</v>
      </c>
      <c r="G415" s="21" t="s">
        <v>63</v>
      </c>
      <c r="H415" s="24" t="n">
        <v>1</v>
      </c>
      <c r="I415" s="24" t="n">
        <v>27990</v>
      </c>
      <c r="J415" s="24" t="n">
        <v>19500</v>
      </c>
      <c r="K415" s="25" t="n">
        <f aca="false">H415*I415</f>
        <v>27990</v>
      </c>
      <c r="L415" s="25" t="n">
        <f aca="false">H415*(I415-J415)</f>
        <v>8490</v>
      </c>
    </row>
    <row r="416" customFormat="false" ht="15" hidden="false" customHeight="false" outlineLevel="0" collapsed="false">
      <c r="A416" s="21" t="s">
        <v>482</v>
      </c>
      <c r="B416" s="22" t="n">
        <v>46086</v>
      </c>
      <c r="C416" s="23" t="n">
        <f aca="false">YEAR(B416)</f>
        <v>2026</v>
      </c>
      <c r="D416" s="23" t="n">
        <f aca="false">MONTH(B416)</f>
        <v>3</v>
      </c>
      <c r="E416" s="21" t="s">
        <v>48</v>
      </c>
      <c r="F416" s="21" t="s">
        <v>57</v>
      </c>
      <c r="G416" s="21" t="s">
        <v>74</v>
      </c>
      <c r="H416" s="24" t="n">
        <v>39</v>
      </c>
      <c r="I416" s="24" t="n">
        <v>345</v>
      </c>
      <c r="J416" s="24" t="n">
        <v>170</v>
      </c>
      <c r="K416" s="25" t="n">
        <f aca="false">H416*I416</f>
        <v>13455</v>
      </c>
      <c r="L416" s="25" t="n">
        <f aca="false">H416*(I416-J416)</f>
        <v>6825</v>
      </c>
    </row>
    <row r="417" customFormat="false" ht="15" hidden="false" customHeight="false" outlineLevel="0" collapsed="false">
      <c r="A417" s="21" t="s">
        <v>483</v>
      </c>
      <c r="B417" s="22" t="n">
        <v>46086</v>
      </c>
      <c r="C417" s="23" t="n">
        <f aca="false">YEAR(B417)</f>
        <v>2026</v>
      </c>
      <c r="D417" s="23" t="n">
        <f aca="false">MONTH(B417)</f>
        <v>3</v>
      </c>
      <c r="E417" s="21" t="s">
        <v>48</v>
      </c>
      <c r="F417" s="21" t="s">
        <v>65</v>
      </c>
      <c r="G417" s="21" t="s">
        <v>66</v>
      </c>
      <c r="H417" s="24" t="n">
        <v>23</v>
      </c>
      <c r="I417" s="24" t="n">
        <v>4770</v>
      </c>
      <c r="J417" s="24" t="n">
        <v>1900</v>
      </c>
      <c r="K417" s="25" t="n">
        <f aca="false">H417*I417</f>
        <v>109710</v>
      </c>
      <c r="L417" s="25" t="n">
        <f aca="false">H417*(I417-J417)</f>
        <v>66010</v>
      </c>
    </row>
    <row r="418" customFormat="false" ht="15" hidden="false" customHeight="false" outlineLevel="0" collapsed="false">
      <c r="A418" s="21" t="s">
        <v>484</v>
      </c>
      <c r="B418" s="22" t="n">
        <v>46087</v>
      </c>
      <c r="C418" s="23" t="n">
        <f aca="false">YEAR(B418)</f>
        <v>2026</v>
      </c>
      <c r="D418" s="23" t="n">
        <f aca="false">MONTH(B418)</f>
        <v>3</v>
      </c>
      <c r="E418" s="21" t="s">
        <v>56</v>
      </c>
      <c r="F418" s="21" t="s">
        <v>62</v>
      </c>
      <c r="G418" s="21" t="s">
        <v>63</v>
      </c>
      <c r="H418" s="24" t="n">
        <v>3</v>
      </c>
      <c r="I418" s="24" t="n">
        <v>28500</v>
      </c>
      <c r="J418" s="24" t="n">
        <v>19500</v>
      </c>
      <c r="K418" s="25" t="n">
        <f aca="false">H418*I418</f>
        <v>85500</v>
      </c>
      <c r="L418" s="25" t="n">
        <f aca="false">H418*(I418-J418)</f>
        <v>27000</v>
      </c>
    </row>
    <row r="419" customFormat="false" ht="15" hidden="false" customHeight="false" outlineLevel="0" collapsed="false">
      <c r="A419" s="21" t="s">
        <v>485</v>
      </c>
      <c r="B419" s="22" t="n">
        <v>46087</v>
      </c>
      <c r="C419" s="23" t="n">
        <f aca="false">YEAR(B419)</f>
        <v>2026</v>
      </c>
      <c r="D419" s="23" t="n">
        <f aca="false">MONTH(B419)</f>
        <v>3</v>
      </c>
      <c r="E419" s="21" t="s">
        <v>43</v>
      </c>
      <c r="F419" s="21" t="s">
        <v>57</v>
      </c>
      <c r="G419" s="21" t="s">
        <v>74</v>
      </c>
      <c r="H419" s="24" t="n">
        <v>29</v>
      </c>
      <c r="I419" s="24" t="n">
        <v>346</v>
      </c>
      <c r="J419" s="24" t="n">
        <v>170</v>
      </c>
      <c r="K419" s="25" t="n">
        <f aca="false">H419*I419</f>
        <v>10034</v>
      </c>
      <c r="L419" s="25" t="n">
        <f aca="false">H419*(I419-J419)</f>
        <v>5104</v>
      </c>
    </row>
    <row r="420" customFormat="false" ht="15" hidden="false" customHeight="false" outlineLevel="0" collapsed="false">
      <c r="A420" s="21" t="s">
        <v>486</v>
      </c>
      <c r="B420" s="22" t="n">
        <v>46088</v>
      </c>
      <c r="C420" s="23" t="n">
        <f aca="false">YEAR(B420)</f>
        <v>2026</v>
      </c>
      <c r="D420" s="23" t="n">
        <f aca="false">MONTH(B420)</f>
        <v>3</v>
      </c>
      <c r="E420" s="21" t="s">
        <v>43</v>
      </c>
      <c r="F420" s="21" t="s">
        <v>57</v>
      </c>
      <c r="G420" s="21" t="s">
        <v>74</v>
      </c>
      <c r="H420" s="24" t="n">
        <v>59</v>
      </c>
      <c r="I420" s="24" t="n">
        <v>344</v>
      </c>
      <c r="J420" s="24" t="n">
        <v>170</v>
      </c>
      <c r="K420" s="25" t="n">
        <f aca="false">H420*I420</f>
        <v>20296</v>
      </c>
      <c r="L420" s="25" t="n">
        <f aca="false">H420*(I420-J420)</f>
        <v>10266</v>
      </c>
    </row>
    <row r="421" customFormat="false" ht="15" hidden="false" customHeight="false" outlineLevel="0" collapsed="false">
      <c r="A421" s="21" t="s">
        <v>487</v>
      </c>
      <c r="B421" s="22" t="n">
        <v>46090</v>
      </c>
      <c r="C421" s="23" t="n">
        <f aca="false">YEAR(B421)</f>
        <v>2026</v>
      </c>
      <c r="D421" s="23" t="n">
        <f aca="false">MONTH(B421)</f>
        <v>3</v>
      </c>
      <c r="E421" s="21" t="s">
        <v>43</v>
      </c>
      <c r="F421" s="21" t="s">
        <v>44</v>
      </c>
      <c r="G421" s="21" t="s">
        <v>45</v>
      </c>
      <c r="H421" s="24" t="n">
        <v>6</v>
      </c>
      <c r="I421" s="24" t="n">
        <v>4410</v>
      </c>
      <c r="J421" s="24" t="n">
        <v>2800</v>
      </c>
      <c r="K421" s="25" t="n">
        <f aca="false">H421*I421</f>
        <v>26460</v>
      </c>
      <c r="L421" s="25" t="n">
        <f aca="false">H421*(I421-J421)</f>
        <v>9660</v>
      </c>
    </row>
    <row r="422" customFormat="false" ht="15" hidden="false" customHeight="false" outlineLevel="0" collapsed="false">
      <c r="A422" s="21" t="s">
        <v>488</v>
      </c>
      <c r="B422" s="22" t="n">
        <v>46091</v>
      </c>
      <c r="C422" s="23" t="n">
        <f aca="false">YEAR(B422)</f>
        <v>2026</v>
      </c>
      <c r="D422" s="23" t="n">
        <f aca="false">MONTH(B422)</f>
        <v>3</v>
      </c>
      <c r="E422" s="21" t="s">
        <v>43</v>
      </c>
      <c r="F422" s="21" t="s">
        <v>57</v>
      </c>
      <c r="G422" s="21" t="s">
        <v>74</v>
      </c>
      <c r="H422" s="24" t="n">
        <v>21</v>
      </c>
      <c r="I422" s="24" t="n">
        <v>339</v>
      </c>
      <c r="J422" s="24" t="n">
        <v>170</v>
      </c>
      <c r="K422" s="25" t="n">
        <f aca="false">H422*I422</f>
        <v>7119</v>
      </c>
      <c r="L422" s="25" t="n">
        <f aca="false">H422*(I422-J422)</f>
        <v>3549</v>
      </c>
    </row>
    <row r="423" customFormat="false" ht="15" hidden="false" customHeight="false" outlineLevel="0" collapsed="false">
      <c r="A423" s="21" t="s">
        <v>489</v>
      </c>
      <c r="B423" s="22" t="n">
        <v>46092</v>
      </c>
      <c r="C423" s="23" t="n">
        <f aca="false">YEAR(B423)</f>
        <v>2026</v>
      </c>
      <c r="D423" s="23" t="n">
        <f aca="false">MONTH(B423)</f>
        <v>3</v>
      </c>
      <c r="E423" s="21" t="s">
        <v>76</v>
      </c>
      <c r="F423" s="21" t="s">
        <v>62</v>
      </c>
      <c r="G423" s="21" t="s">
        <v>72</v>
      </c>
      <c r="H423" s="24" t="n">
        <v>4</v>
      </c>
      <c r="I423" s="24" t="n">
        <v>7060</v>
      </c>
      <c r="J423" s="24" t="n">
        <v>4800</v>
      </c>
      <c r="K423" s="25" t="n">
        <f aca="false">H423*I423</f>
        <v>28240</v>
      </c>
      <c r="L423" s="25" t="n">
        <f aca="false">H423*(I423-J423)</f>
        <v>9040</v>
      </c>
    </row>
    <row r="424" customFormat="false" ht="15" hidden="false" customHeight="false" outlineLevel="0" collapsed="false">
      <c r="A424" s="21" t="s">
        <v>490</v>
      </c>
      <c r="B424" s="22" t="n">
        <v>46092</v>
      </c>
      <c r="C424" s="23" t="n">
        <f aca="false">YEAR(B424)</f>
        <v>2026</v>
      </c>
      <c r="D424" s="23" t="n">
        <f aca="false">MONTH(B424)</f>
        <v>3</v>
      </c>
      <c r="E424" s="21" t="s">
        <v>76</v>
      </c>
      <c r="F424" s="21" t="s">
        <v>44</v>
      </c>
      <c r="G424" s="21" t="s">
        <v>45</v>
      </c>
      <c r="H424" s="24" t="n">
        <v>11</v>
      </c>
      <c r="I424" s="24" t="n">
        <v>4480</v>
      </c>
      <c r="J424" s="24" t="n">
        <v>2800</v>
      </c>
      <c r="K424" s="25" t="n">
        <f aca="false">H424*I424</f>
        <v>49280</v>
      </c>
      <c r="L424" s="25" t="n">
        <f aca="false">H424*(I424-J424)</f>
        <v>18480</v>
      </c>
    </row>
    <row r="425" customFormat="false" ht="15" hidden="false" customHeight="false" outlineLevel="0" collapsed="false">
      <c r="A425" s="21" t="s">
        <v>491</v>
      </c>
      <c r="B425" s="22" t="n">
        <v>46093</v>
      </c>
      <c r="C425" s="23" t="n">
        <f aca="false">YEAR(B425)</f>
        <v>2026</v>
      </c>
      <c r="D425" s="23" t="n">
        <f aca="false">MONTH(B425)</f>
        <v>3</v>
      </c>
      <c r="E425" s="21" t="s">
        <v>48</v>
      </c>
      <c r="F425" s="21" t="s">
        <v>62</v>
      </c>
      <c r="G425" s="21" t="s">
        <v>92</v>
      </c>
      <c r="H425" s="24" t="n">
        <v>3</v>
      </c>
      <c r="I425" s="24" t="n">
        <v>13660</v>
      </c>
      <c r="J425" s="24" t="n">
        <v>9000</v>
      </c>
      <c r="K425" s="25" t="n">
        <f aca="false">H425*I425</f>
        <v>40980</v>
      </c>
      <c r="L425" s="25" t="n">
        <f aca="false">H425*(I425-J425)</f>
        <v>13980</v>
      </c>
    </row>
    <row r="426" customFormat="false" ht="15" hidden="false" customHeight="false" outlineLevel="0" collapsed="false">
      <c r="A426" s="21" t="s">
        <v>492</v>
      </c>
      <c r="B426" s="22" t="n">
        <v>46094</v>
      </c>
      <c r="C426" s="23" t="n">
        <f aca="false">YEAR(B426)</f>
        <v>2026</v>
      </c>
      <c r="D426" s="23" t="n">
        <f aca="false">MONTH(B426)</f>
        <v>3</v>
      </c>
      <c r="E426" s="21" t="s">
        <v>56</v>
      </c>
      <c r="F426" s="21" t="s">
        <v>57</v>
      </c>
      <c r="G426" s="21" t="s">
        <v>74</v>
      </c>
      <c r="H426" s="24" t="n">
        <v>41</v>
      </c>
      <c r="I426" s="24" t="n">
        <v>353</v>
      </c>
      <c r="J426" s="24" t="n">
        <v>170</v>
      </c>
      <c r="K426" s="25" t="n">
        <f aca="false">H426*I426</f>
        <v>14473</v>
      </c>
      <c r="L426" s="25" t="n">
        <f aca="false">H426*(I426-J426)</f>
        <v>7503</v>
      </c>
    </row>
    <row r="427" customFormat="false" ht="15" hidden="false" customHeight="false" outlineLevel="0" collapsed="false">
      <c r="A427" s="21" t="s">
        <v>493</v>
      </c>
      <c r="B427" s="22" t="n">
        <v>46095</v>
      </c>
      <c r="C427" s="23" t="n">
        <f aca="false">YEAR(B427)</f>
        <v>2026</v>
      </c>
      <c r="D427" s="23" t="n">
        <f aca="false">MONTH(B427)</f>
        <v>3</v>
      </c>
      <c r="E427" s="21" t="s">
        <v>48</v>
      </c>
      <c r="F427" s="21" t="s">
        <v>44</v>
      </c>
      <c r="G427" s="21" t="s">
        <v>45</v>
      </c>
      <c r="H427" s="24" t="n">
        <v>4</v>
      </c>
      <c r="I427" s="24" t="n">
        <v>4320</v>
      </c>
      <c r="J427" s="24" t="n">
        <v>2800</v>
      </c>
      <c r="K427" s="25" t="n">
        <f aca="false">H427*I427</f>
        <v>17280</v>
      </c>
      <c r="L427" s="25" t="n">
        <f aca="false">H427*(I427-J427)</f>
        <v>6080</v>
      </c>
    </row>
    <row r="428" customFormat="false" ht="15" hidden="false" customHeight="false" outlineLevel="0" collapsed="false">
      <c r="A428" s="21" t="s">
        <v>494</v>
      </c>
      <c r="B428" s="22" t="n">
        <v>46095</v>
      </c>
      <c r="C428" s="23" t="n">
        <f aca="false">YEAR(B428)</f>
        <v>2026</v>
      </c>
      <c r="D428" s="23" t="n">
        <f aca="false">MONTH(B428)</f>
        <v>3</v>
      </c>
      <c r="E428" s="21" t="s">
        <v>43</v>
      </c>
      <c r="F428" s="21" t="s">
        <v>44</v>
      </c>
      <c r="G428" s="21" t="s">
        <v>69</v>
      </c>
      <c r="H428" s="24" t="n">
        <v>2</v>
      </c>
      <c r="I428" s="24" t="n">
        <v>20530</v>
      </c>
      <c r="J428" s="24" t="n">
        <v>15500</v>
      </c>
      <c r="K428" s="25" t="n">
        <f aca="false">H428*I428</f>
        <v>41060</v>
      </c>
      <c r="L428" s="25" t="n">
        <f aca="false">H428*(I428-J428)</f>
        <v>10060</v>
      </c>
    </row>
    <row r="429" customFormat="false" ht="15" hidden="false" customHeight="false" outlineLevel="0" collapsed="false">
      <c r="A429" s="21" t="s">
        <v>495</v>
      </c>
      <c r="B429" s="22" t="n">
        <v>46096</v>
      </c>
      <c r="C429" s="23" t="n">
        <f aca="false">YEAR(B429)</f>
        <v>2026</v>
      </c>
      <c r="D429" s="23" t="n">
        <f aca="false">MONTH(B429)</f>
        <v>3</v>
      </c>
      <c r="E429" s="21" t="s">
        <v>48</v>
      </c>
      <c r="F429" s="21" t="s">
        <v>62</v>
      </c>
      <c r="G429" s="21" t="s">
        <v>63</v>
      </c>
      <c r="H429" s="24" t="n">
        <v>1</v>
      </c>
      <c r="I429" s="24" t="n">
        <v>27150</v>
      </c>
      <c r="J429" s="24" t="n">
        <v>19500</v>
      </c>
      <c r="K429" s="25" t="n">
        <f aca="false">H429*I429</f>
        <v>27150</v>
      </c>
      <c r="L429" s="25" t="n">
        <f aca="false">H429*(I429-J429)</f>
        <v>7650</v>
      </c>
    </row>
    <row r="430" customFormat="false" ht="15" hidden="false" customHeight="false" outlineLevel="0" collapsed="false">
      <c r="A430" s="21" t="s">
        <v>496</v>
      </c>
      <c r="B430" s="22" t="n">
        <v>46096</v>
      </c>
      <c r="C430" s="23" t="n">
        <f aca="false">YEAR(B430)</f>
        <v>2026</v>
      </c>
      <c r="D430" s="23" t="n">
        <f aca="false">MONTH(B430)</f>
        <v>3</v>
      </c>
      <c r="E430" s="21" t="s">
        <v>56</v>
      </c>
      <c r="F430" s="21" t="s">
        <v>65</v>
      </c>
      <c r="G430" s="21" t="s">
        <v>66</v>
      </c>
      <c r="H430" s="24" t="n">
        <v>17</v>
      </c>
      <c r="I430" s="24" t="n">
        <v>4780</v>
      </c>
      <c r="J430" s="24" t="n">
        <v>1900</v>
      </c>
      <c r="K430" s="25" t="n">
        <f aca="false">H430*I430</f>
        <v>81260</v>
      </c>
      <c r="L430" s="25" t="n">
        <f aca="false">H430*(I430-J430)</f>
        <v>48960</v>
      </c>
    </row>
    <row r="431" customFormat="false" ht="15" hidden="false" customHeight="false" outlineLevel="0" collapsed="false">
      <c r="A431" s="21" t="s">
        <v>497</v>
      </c>
      <c r="B431" s="22" t="n">
        <v>46100</v>
      </c>
      <c r="C431" s="23" t="n">
        <f aca="false">YEAR(B431)</f>
        <v>2026</v>
      </c>
      <c r="D431" s="23" t="n">
        <f aca="false">MONTH(B431)</f>
        <v>3</v>
      </c>
      <c r="E431" s="21" t="s">
        <v>43</v>
      </c>
      <c r="F431" s="21" t="s">
        <v>44</v>
      </c>
      <c r="G431" s="21" t="s">
        <v>45</v>
      </c>
      <c r="H431" s="24" t="n">
        <v>6</v>
      </c>
      <c r="I431" s="24" t="n">
        <v>4190</v>
      </c>
      <c r="J431" s="24" t="n">
        <v>2800</v>
      </c>
      <c r="K431" s="25" t="n">
        <f aca="false">H431*I431</f>
        <v>25140</v>
      </c>
      <c r="L431" s="25" t="n">
        <f aca="false">H431*(I431-J431)</f>
        <v>8340</v>
      </c>
    </row>
    <row r="432" customFormat="false" ht="15" hidden="false" customHeight="false" outlineLevel="0" collapsed="false">
      <c r="A432" s="21" t="s">
        <v>498</v>
      </c>
      <c r="B432" s="22" t="n">
        <v>46101</v>
      </c>
      <c r="C432" s="23" t="n">
        <f aca="false">YEAR(B432)</f>
        <v>2026</v>
      </c>
      <c r="D432" s="23" t="n">
        <f aca="false">MONTH(B432)</f>
        <v>3</v>
      </c>
      <c r="E432" s="21" t="s">
        <v>56</v>
      </c>
      <c r="F432" s="21" t="s">
        <v>62</v>
      </c>
      <c r="G432" s="21" t="s">
        <v>63</v>
      </c>
      <c r="H432" s="24" t="n">
        <v>4</v>
      </c>
      <c r="I432" s="24" t="n">
        <v>28520</v>
      </c>
      <c r="J432" s="24" t="n">
        <v>19500</v>
      </c>
      <c r="K432" s="25" t="n">
        <f aca="false">H432*I432</f>
        <v>114080</v>
      </c>
      <c r="L432" s="25" t="n">
        <f aca="false">H432*(I432-J432)</f>
        <v>36080</v>
      </c>
    </row>
    <row r="433" customFormat="false" ht="15" hidden="false" customHeight="false" outlineLevel="0" collapsed="false">
      <c r="A433" s="21" t="s">
        <v>499</v>
      </c>
      <c r="B433" s="22" t="n">
        <v>46103</v>
      </c>
      <c r="C433" s="23" t="n">
        <f aca="false">YEAR(B433)</f>
        <v>2026</v>
      </c>
      <c r="D433" s="23" t="n">
        <f aca="false">MONTH(B433)</f>
        <v>3</v>
      </c>
      <c r="E433" s="21" t="s">
        <v>48</v>
      </c>
      <c r="F433" s="21" t="s">
        <v>62</v>
      </c>
      <c r="G433" s="21" t="s">
        <v>92</v>
      </c>
      <c r="H433" s="24" t="n">
        <v>6</v>
      </c>
      <c r="I433" s="24" t="n">
        <v>14520</v>
      </c>
      <c r="J433" s="24" t="n">
        <v>9000</v>
      </c>
      <c r="K433" s="25" t="n">
        <f aca="false">H433*I433</f>
        <v>87120</v>
      </c>
      <c r="L433" s="25" t="n">
        <f aca="false">H433*(I433-J433)</f>
        <v>33120</v>
      </c>
    </row>
    <row r="434" customFormat="false" ht="15" hidden="false" customHeight="false" outlineLevel="0" collapsed="false">
      <c r="A434" s="21" t="s">
        <v>500</v>
      </c>
      <c r="B434" s="22" t="n">
        <v>46104</v>
      </c>
      <c r="C434" s="23" t="n">
        <f aca="false">YEAR(B434)</f>
        <v>2026</v>
      </c>
      <c r="D434" s="23" t="n">
        <f aca="false">MONTH(B434)</f>
        <v>3</v>
      </c>
      <c r="E434" s="21" t="s">
        <v>48</v>
      </c>
      <c r="F434" s="21" t="s">
        <v>44</v>
      </c>
      <c r="G434" s="21" t="s">
        <v>45</v>
      </c>
      <c r="H434" s="24" t="n">
        <v>5</v>
      </c>
      <c r="I434" s="24" t="n">
        <v>4420</v>
      </c>
      <c r="J434" s="24" t="n">
        <v>2800</v>
      </c>
      <c r="K434" s="25" t="n">
        <f aca="false">H434*I434</f>
        <v>22100</v>
      </c>
      <c r="L434" s="25" t="n">
        <f aca="false">H434*(I434-J434)</f>
        <v>8100</v>
      </c>
    </row>
    <row r="435" customFormat="false" ht="15" hidden="false" customHeight="false" outlineLevel="0" collapsed="false">
      <c r="A435" s="21" t="s">
        <v>501</v>
      </c>
      <c r="B435" s="22" t="n">
        <v>46104</v>
      </c>
      <c r="C435" s="23" t="n">
        <f aca="false">YEAR(B435)</f>
        <v>2026</v>
      </c>
      <c r="D435" s="23" t="n">
        <f aca="false">MONTH(B435)</f>
        <v>3</v>
      </c>
      <c r="E435" s="21" t="s">
        <v>48</v>
      </c>
      <c r="F435" s="21" t="s">
        <v>44</v>
      </c>
      <c r="G435" s="21" t="s">
        <v>45</v>
      </c>
      <c r="H435" s="24" t="n">
        <v>7</v>
      </c>
      <c r="I435" s="24" t="n">
        <v>4330</v>
      </c>
      <c r="J435" s="24" t="n">
        <v>2800</v>
      </c>
      <c r="K435" s="25" t="n">
        <f aca="false">H435*I435</f>
        <v>30310</v>
      </c>
      <c r="L435" s="25" t="n">
        <f aca="false">H435*(I435-J435)</f>
        <v>10710</v>
      </c>
    </row>
    <row r="436" customFormat="false" ht="15" hidden="false" customHeight="false" outlineLevel="0" collapsed="false">
      <c r="A436" s="21" t="s">
        <v>502</v>
      </c>
      <c r="B436" s="22" t="n">
        <v>46105</v>
      </c>
      <c r="C436" s="23" t="n">
        <f aca="false">YEAR(B436)</f>
        <v>2026</v>
      </c>
      <c r="D436" s="23" t="n">
        <f aca="false">MONTH(B436)</f>
        <v>3</v>
      </c>
      <c r="E436" s="21" t="s">
        <v>48</v>
      </c>
      <c r="F436" s="21" t="s">
        <v>57</v>
      </c>
      <c r="G436" s="21" t="s">
        <v>58</v>
      </c>
      <c r="H436" s="24" t="n">
        <v>23</v>
      </c>
      <c r="I436" s="24" t="n">
        <v>1830</v>
      </c>
      <c r="J436" s="24" t="n">
        <v>1250</v>
      </c>
      <c r="K436" s="25" t="n">
        <f aca="false">H436*I436</f>
        <v>42090</v>
      </c>
      <c r="L436" s="25" t="n">
        <f aca="false">H436*(I436-J436)</f>
        <v>13340</v>
      </c>
    </row>
    <row r="437" customFormat="false" ht="15" hidden="false" customHeight="false" outlineLevel="0" collapsed="false">
      <c r="A437" s="21" t="s">
        <v>503</v>
      </c>
      <c r="B437" s="22" t="n">
        <v>46105</v>
      </c>
      <c r="C437" s="23" t="n">
        <f aca="false">YEAR(B437)</f>
        <v>2026</v>
      </c>
      <c r="D437" s="23" t="n">
        <f aca="false">MONTH(B437)</f>
        <v>3</v>
      </c>
      <c r="E437" s="21" t="s">
        <v>48</v>
      </c>
      <c r="F437" s="21" t="s">
        <v>62</v>
      </c>
      <c r="G437" s="21" t="s">
        <v>92</v>
      </c>
      <c r="H437" s="24" t="n">
        <v>4</v>
      </c>
      <c r="I437" s="24" t="n">
        <v>13580</v>
      </c>
      <c r="J437" s="24" t="n">
        <v>9000</v>
      </c>
      <c r="K437" s="25" t="n">
        <f aca="false">H437*I437</f>
        <v>54320</v>
      </c>
      <c r="L437" s="25" t="n">
        <f aca="false">H437*(I437-J437)</f>
        <v>18320</v>
      </c>
    </row>
    <row r="438" customFormat="false" ht="15" hidden="false" customHeight="false" outlineLevel="0" collapsed="false">
      <c r="A438" s="21" t="s">
        <v>504</v>
      </c>
      <c r="B438" s="22" t="n">
        <v>46106</v>
      </c>
      <c r="C438" s="23" t="n">
        <f aca="false">YEAR(B438)</f>
        <v>2026</v>
      </c>
      <c r="D438" s="23" t="n">
        <f aca="false">MONTH(B438)</f>
        <v>3</v>
      </c>
      <c r="E438" s="21" t="s">
        <v>43</v>
      </c>
      <c r="F438" s="21" t="s">
        <v>65</v>
      </c>
      <c r="G438" s="21" t="s">
        <v>66</v>
      </c>
      <c r="H438" s="24" t="n">
        <v>19</v>
      </c>
      <c r="I438" s="24" t="n">
        <v>4560</v>
      </c>
      <c r="J438" s="24" t="n">
        <v>1900</v>
      </c>
      <c r="K438" s="25" t="n">
        <f aca="false">H438*I438</f>
        <v>86640</v>
      </c>
      <c r="L438" s="25" t="n">
        <f aca="false">H438*(I438-J438)</f>
        <v>50540</v>
      </c>
    </row>
    <row r="439" customFormat="false" ht="15" hidden="false" customHeight="false" outlineLevel="0" collapsed="false">
      <c r="A439" s="21" t="s">
        <v>505</v>
      </c>
      <c r="B439" s="22" t="n">
        <v>46106</v>
      </c>
      <c r="C439" s="23" t="n">
        <f aca="false">YEAR(B439)</f>
        <v>2026</v>
      </c>
      <c r="D439" s="23" t="n">
        <f aca="false">MONTH(B439)</f>
        <v>3</v>
      </c>
      <c r="E439" s="21" t="s">
        <v>43</v>
      </c>
      <c r="F439" s="21" t="s">
        <v>57</v>
      </c>
      <c r="G439" s="21" t="s">
        <v>74</v>
      </c>
      <c r="H439" s="24" t="n">
        <v>69</v>
      </c>
      <c r="I439" s="24" t="n">
        <v>366</v>
      </c>
      <c r="J439" s="24" t="n">
        <v>170</v>
      </c>
      <c r="K439" s="25" t="n">
        <f aca="false">H439*I439</f>
        <v>25254</v>
      </c>
      <c r="L439" s="25" t="n">
        <f aca="false">H439*(I439-J439)</f>
        <v>13524</v>
      </c>
    </row>
    <row r="440" customFormat="false" ht="15" hidden="false" customHeight="false" outlineLevel="0" collapsed="false">
      <c r="A440" s="21" t="s">
        <v>506</v>
      </c>
      <c r="B440" s="22" t="n">
        <v>46107</v>
      </c>
      <c r="C440" s="23" t="n">
        <f aca="false">YEAR(B440)</f>
        <v>2026</v>
      </c>
      <c r="D440" s="23" t="n">
        <f aca="false">MONTH(B440)</f>
        <v>3</v>
      </c>
      <c r="E440" s="21" t="s">
        <v>56</v>
      </c>
      <c r="F440" s="21" t="s">
        <v>44</v>
      </c>
      <c r="G440" s="21" t="s">
        <v>45</v>
      </c>
      <c r="H440" s="24" t="n">
        <v>3</v>
      </c>
      <c r="I440" s="24" t="n">
        <v>4590</v>
      </c>
      <c r="J440" s="24" t="n">
        <v>2800</v>
      </c>
      <c r="K440" s="25" t="n">
        <f aca="false">H440*I440</f>
        <v>13770</v>
      </c>
      <c r="L440" s="25" t="n">
        <f aca="false">H440*(I440-J440)</f>
        <v>5370</v>
      </c>
    </row>
    <row r="441" customFormat="false" ht="15" hidden="false" customHeight="false" outlineLevel="0" collapsed="false">
      <c r="A441" s="21" t="s">
        <v>507</v>
      </c>
      <c r="B441" s="22" t="n">
        <v>46108</v>
      </c>
      <c r="C441" s="23" t="n">
        <f aca="false">YEAR(B441)</f>
        <v>2026</v>
      </c>
      <c r="D441" s="23" t="n">
        <f aca="false">MONTH(B441)</f>
        <v>3</v>
      </c>
      <c r="E441" s="21" t="s">
        <v>48</v>
      </c>
      <c r="F441" s="21" t="s">
        <v>65</v>
      </c>
      <c r="G441" s="21" t="s">
        <v>81</v>
      </c>
      <c r="H441" s="24" t="n">
        <v>16</v>
      </c>
      <c r="I441" s="24" t="n">
        <v>8980</v>
      </c>
      <c r="J441" s="24" t="n">
        <v>2500</v>
      </c>
      <c r="K441" s="25" t="n">
        <f aca="false">H441*I441</f>
        <v>143680</v>
      </c>
      <c r="L441" s="25" t="n">
        <f aca="false">H441*(I441-J441)</f>
        <v>103680</v>
      </c>
    </row>
    <row r="442" customFormat="false" ht="15" hidden="false" customHeight="false" outlineLevel="0" collapsed="false">
      <c r="A442" s="21" t="s">
        <v>508</v>
      </c>
      <c r="B442" s="22" t="n">
        <v>46109</v>
      </c>
      <c r="C442" s="23" t="n">
        <f aca="false">YEAR(B442)</f>
        <v>2026</v>
      </c>
      <c r="D442" s="23" t="n">
        <f aca="false">MONTH(B442)</f>
        <v>3</v>
      </c>
      <c r="E442" s="21" t="s">
        <v>48</v>
      </c>
      <c r="F442" s="21" t="s">
        <v>62</v>
      </c>
      <c r="G442" s="21" t="s">
        <v>92</v>
      </c>
      <c r="H442" s="24" t="n">
        <v>2</v>
      </c>
      <c r="I442" s="24" t="n">
        <v>14120</v>
      </c>
      <c r="J442" s="24" t="n">
        <v>9000</v>
      </c>
      <c r="K442" s="25" t="n">
        <f aca="false">H442*I442</f>
        <v>28240</v>
      </c>
      <c r="L442" s="25" t="n">
        <f aca="false">H442*(I442-J442)</f>
        <v>10240</v>
      </c>
    </row>
    <row r="443" customFormat="false" ht="15" hidden="false" customHeight="false" outlineLevel="0" collapsed="false">
      <c r="A443" s="21" t="s">
        <v>509</v>
      </c>
      <c r="B443" s="22" t="n">
        <v>46109</v>
      </c>
      <c r="C443" s="23" t="n">
        <f aca="false">YEAR(B443)</f>
        <v>2026</v>
      </c>
      <c r="D443" s="23" t="n">
        <f aca="false">MONTH(B443)</f>
        <v>3</v>
      </c>
      <c r="E443" s="21" t="s">
        <v>43</v>
      </c>
      <c r="F443" s="21" t="s">
        <v>57</v>
      </c>
      <c r="G443" s="21" t="s">
        <v>74</v>
      </c>
      <c r="H443" s="24" t="n">
        <v>71</v>
      </c>
      <c r="I443" s="24" t="n">
        <v>353</v>
      </c>
      <c r="J443" s="24" t="n">
        <v>170</v>
      </c>
      <c r="K443" s="25" t="n">
        <f aca="false">H443*I443</f>
        <v>25063</v>
      </c>
      <c r="L443" s="25" t="n">
        <f aca="false">H443*(I443-J443)</f>
        <v>12993</v>
      </c>
    </row>
    <row r="444" customFormat="false" ht="15" hidden="false" customHeight="false" outlineLevel="0" collapsed="false">
      <c r="A444" s="21" t="s">
        <v>510</v>
      </c>
      <c r="B444" s="22" t="n">
        <v>46110</v>
      </c>
      <c r="C444" s="23" t="n">
        <f aca="false">YEAR(B444)</f>
        <v>2026</v>
      </c>
      <c r="D444" s="23" t="n">
        <f aca="false">MONTH(B444)</f>
        <v>3</v>
      </c>
      <c r="E444" s="21" t="s">
        <v>61</v>
      </c>
      <c r="F444" s="21" t="s">
        <v>57</v>
      </c>
      <c r="G444" s="21" t="s">
        <v>78</v>
      </c>
      <c r="H444" s="24" t="n">
        <v>54</v>
      </c>
      <c r="I444" s="24" t="n">
        <v>645</v>
      </c>
      <c r="J444" s="24" t="n">
        <v>320</v>
      </c>
      <c r="K444" s="25" t="n">
        <f aca="false">H444*I444</f>
        <v>34830</v>
      </c>
      <c r="L444" s="25" t="n">
        <f aca="false">H444*(I444-J444)</f>
        <v>17550</v>
      </c>
    </row>
    <row r="445" customFormat="false" ht="15" hidden="false" customHeight="false" outlineLevel="0" collapsed="false">
      <c r="A445" s="21" t="s">
        <v>511</v>
      </c>
      <c r="B445" s="22" t="n">
        <v>46111</v>
      </c>
      <c r="C445" s="23" t="n">
        <f aca="false">YEAR(B445)</f>
        <v>2026</v>
      </c>
      <c r="D445" s="23" t="n">
        <f aca="false">MONTH(B445)</f>
        <v>3</v>
      </c>
      <c r="E445" s="21" t="s">
        <v>61</v>
      </c>
      <c r="F445" s="21" t="s">
        <v>44</v>
      </c>
      <c r="G445" s="21" t="s">
        <v>49</v>
      </c>
      <c r="H445" s="24" t="n">
        <v>3</v>
      </c>
      <c r="I445" s="24" t="n">
        <v>63770</v>
      </c>
      <c r="J445" s="24" t="n">
        <v>48000</v>
      </c>
      <c r="K445" s="25" t="n">
        <f aca="false">H445*I445</f>
        <v>191310</v>
      </c>
      <c r="L445" s="25" t="n">
        <f aca="false">H445*(I445-J445)</f>
        <v>47310</v>
      </c>
    </row>
    <row r="446" customFormat="false" ht="15" hidden="false" customHeight="false" outlineLevel="0" collapsed="false">
      <c r="A446" s="21" t="s">
        <v>512</v>
      </c>
      <c r="B446" s="22" t="n">
        <v>46113</v>
      </c>
      <c r="C446" s="23" t="n">
        <f aca="false">YEAR(B446)</f>
        <v>2026</v>
      </c>
      <c r="D446" s="23" t="n">
        <f aca="false">MONTH(B446)</f>
        <v>4</v>
      </c>
      <c r="E446" s="21" t="s">
        <v>76</v>
      </c>
      <c r="F446" s="21" t="s">
        <v>57</v>
      </c>
      <c r="G446" s="21" t="s">
        <v>78</v>
      </c>
      <c r="H446" s="24" t="n">
        <v>15</v>
      </c>
      <c r="I446" s="24" t="n">
        <v>625</v>
      </c>
      <c r="J446" s="24" t="n">
        <v>320</v>
      </c>
      <c r="K446" s="25" t="n">
        <f aca="false">H446*I446</f>
        <v>9375</v>
      </c>
      <c r="L446" s="25" t="n">
        <f aca="false">H446*(I446-J446)</f>
        <v>4575</v>
      </c>
    </row>
    <row r="447" customFormat="false" ht="15" hidden="false" customHeight="false" outlineLevel="0" collapsed="false">
      <c r="A447" s="21" t="s">
        <v>513</v>
      </c>
      <c r="B447" s="22" t="n">
        <v>46117</v>
      </c>
      <c r="C447" s="23" t="n">
        <f aca="false">YEAR(B447)</f>
        <v>2026</v>
      </c>
      <c r="D447" s="23" t="n">
        <f aca="false">MONTH(B447)</f>
        <v>4</v>
      </c>
      <c r="E447" s="21" t="s">
        <v>56</v>
      </c>
      <c r="F447" s="21" t="s">
        <v>44</v>
      </c>
      <c r="G447" s="21" t="s">
        <v>69</v>
      </c>
      <c r="H447" s="24" t="n">
        <v>2</v>
      </c>
      <c r="I447" s="24" t="n">
        <v>21020</v>
      </c>
      <c r="J447" s="24" t="n">
        <v>15500</v>
      </c>
      <c r="K447" s="25" t="n">
        <f aca="false">H447*I447</f>
        <v>42040</v>
      </c>
      <c r="L447" s="25" t="n">
        <f aca="false">H447*(I447-J447)</f>
        <v>11040</v>
      </c>
    </row>
    <row r="448" customFormat="false" ht="15" hidden="false" customHeight="false" outlineLevel="0" collapsed="false">
      <c r="A448" s="21" t="s">
        <v>514</v>
      </c>
      <c r="B448" s="22" t="n">
        <v>46117</v>
      </c>
      <c r="C448" s="23" t="n">
        <f aca="false">YEAR(B448)</f>
        <v>2026</v>
      </c>
      <c r="D448" s="23" t="n">
        <f aca="false">MONTH(B448)</f>
        <v>4</v>
      </c>
      <c r="E448" s="21" t="s">
        <v>61</v>
      </c>
      <c r="F448" s="21" t="s">
        <v>44</v>
      </c>
      <c r="G448" s="21" t="s">
        <v>49</v>
      </c>
      <c r="H448" s="24" t="n">
        <v>3</v>
      </c>
      <c r="I448" s="24" t="n">
        <v>62070</v>
      </c>
      <c r="J448" s="24" t="n">
        <v>48000</v>
      </c>
      <c r="K448" s="25" t="n">
        <f aca="false">H448*I448</f>
        <v>186210</v>
      </c>
      <c r="L448" s="25" t="n">
        <f aca="false">H448*(I448-J448)</f>
        <v>42210</v>
      </c>
    </row>
    <row r="449" customFormat="false" ht="15" hidden="false" customHeight="false" outlineLevel="0" collapsed="false">
      <c r="A449" s="21" t="s">
        <v>515</v>
      </c>
      <c r="B449" s="22" t="n">
        <v>46118</v>
      </c>
      <c r="C449" s="23" t="n">
        <f aca="false">YEAR(B449)</f>
        <v>2026</v>
      </c>
      <c r="D449" s="23" t="n">
        <f aca="false">MONTH(B449)</f>
        <v>4</v>
      </c>
      <c r="E449" s="21" t="s">
        <v>48</v>
      </c>
      <c r="F449" s="21" t="s">
        <v>65</v>
      </c>
      <c r="G449" s="21" t="s">
        <v>66</v>
      </c>
      <c r="H449" s="24" t="n">
        <v>15</v>
      </c>
      <c r="I449" s="24" t="n">
        <v>4520</v>
      </c>
      <c r="J449" s="24" t="n">
        <v>1900</v>
      </c>
      <c r="K449" s="25" t="n">
        <f aca="false">H449*I449</f>
        <v>67800</v>
      </c>
      <c r="L449" s="25" t="n">
        <f aca="false">H449*(I449-J449)</f>
        <v>39300</v>
      </c>
    </row>
    <row r="450" customFormat="false" ht="15" hidden="false" customHeight="false" outlineLevel="0" collapsed="false">
      <c r="A450" s="21" t="s">
        <v>516</v>
      </c>
      <c r="B450" s="22" t="n">
        <v>46119</v>
      </c>
      <c r="C450" s="23" t="n">
        <f aca="false">YEAR(B450)</f>
        <v>2026</v>
      </c>
      <c r="D450" s="23" t="n">
        <f aca="false">MONTH(B450)</f>
        <v>4</v>
      </c>
      <c r="E450" s="21" t="s">
        <v>43</v>
      </c>
      <c r="F450" s="21" t="s">
        <v>44</v>
      </c>
      <c r="G450" s="21" t="s">
        <v>45</v>
      </c>
      <c r="H450" s="24" t="n">
        <v>10</v>
      </c>
      <c r="I450" s="24" t="n">
        <v>4460</v>
      </c>
      <c r="J450" s="24" t="n">
        <v>2800</v>
      </c>
      <c r="K450" s="25" t="n">
        <f aca="false">H450*I450</f>
        <v>44600</v>
      </c>
      <c r="L450" s="25" t="n">
        <f aca="false">H450*(I450-J450)</f>
        <v>16600</v>
      </c>
    </row>
    <row r="451" customFormat="false" ht="15" hidden="false" customHeight="false" outlineLevel="0" collapsed="false">
      <c r="A451" s="21" t="s">
        <v>517</v>
      </c>
      <c r="B451" s="22" t="n">
        <v>46120</v>
      </c>
      <c r="C451" s="23" t="n">
        <f aca="false">YEAR(B451)</f>
        <v>2026</v>
      </c>
      <c r="D451" s="23" t="n">
        <f aca="false">MONTH(B451)</f>
        <v>4</v>
      </c>
      <c r="E451" s="21" t="s">
        <v>43</v>
      </c>
      <c r="F451" s="21" t="s">
        <v>57</v>
      </c>
      <c r="G451" s="21" t="s">
        <v>58</v>
      </c>
      <c r="H451" s="24" t="n">
        <v>16</v>
      </c>
      <c r="I451" s="24" t="n">
        <v>1750</v>
      </c>
      <c r="J451" s="24" t="n">
        <v>1250</v>
      </c>
      <c r="K451" s="25" t="n">
        <f aca="false">H451*I451</f>
        <v>28000</v>
      </c>
      <c r="L451" s="25" t="n">
        <f aca="false">H451*(I451-J451)</f>
        <v>8000</v>
      </c>
    </row>
    <row r="452" customFormat="false" ht="15" hidden="false" customHeight="false" outlineLevel="0" collapsed="false">
      <c r="A452" s="21" t="s">
        <v>518</v>
      </c>
      <c r="B452" s="22" t="n">
        <v>46120</v>
      </c>
      <c r="C452" s="23" t="n">
        <f aca="false">YEAR(B452)</f>
        <v>2026</v>
      </c>
      <c r="D452" s="23" t="n">
        <f aca="false">MONTH(B452)</f>
        <v>4</v>
      </c>
      <c r="E452" s="21" t="s">
        <v>76</v>
      </c>
      <c r="F452" s="21" t="s">
        <v>57</v>
      </c>
      <c r="G452" s="21" t="s">
        <v>74</v>
      </c>
      <c r="H452" s="24" t="n">
        <v>74</v>
      </c>
      <c r="I452" s="24" t="n">
        <v>338</v>
      </c>
      <c r="J452" s="24" t="n">
        <v>170</v>
      </c>
      <c r="K452" s="25" t="n">
        <f aca="false">H452*I452</f>
        <v>25012</v>
      </c>
      <c r="L452" s="25" t="n">
        <f aca="false">H452*(I452-J452)</f>
        <v>12432</v>
      </c>
    </row>
    <row r="453" customFormat="false" ht="15" hidden="false" customHeight="false" outlineLevel="0" collapsed="false">
      <c r="A453" s="21" t="s">
        <v>519</v>
      </c>
      <c r="B453" s="22" t="n">
        <v>46121</v>
      </c>
      <c r="C453" s="23" t="n">
        <f aca="false">YEAR(B453)</f>
        <v>2026</v>
      </c>
      <c r="D453" s="23" t="n">
        <f aca="false">MONTH(B453)</f>
        <v>4</v>
      </c>
      <c r="E453" s="21" t="s">
        <v>48</v>
      </c>
      <c r="F453" s="21" t="s">
        <v>65</v>
      </c>
      <c r="G453" s="21" t="s">
        <v>66</v>
      </c>
      <c r="H453" s="24" t="n">
        <v>11</v>
      </c>
      <c r="I453" s="24" t="n">
        <v>4680</v>
      </c>
      <c r="J453" s="24" t="n">
        <v>1900</v>
      </c>
      <c r="K453" s="25" t="n">
        <f aca="false">H453*I453</f>
        <v>51480</v>
      </c>
      <c r="L453" s="25" t="n">
        <f aca="false">H453*(I453-J453)</f>
        <v>30580</v>
      </c>
    </row>
    <row r="454" customFormat="false" ht="15" hidden="false" customHeight="false" outlineLevel="0" collapsed="false">
      <c r="A454" s="21" t="s">
        <v>520</v>
      </c>
      <c r="B454" s="22" t="n">
        <v>46122</v>
      </c>
      <c r="C454" s="23" t="n">
        <f aca="false">YEAR(B454)</f>
        <v>2026</v>
      </c>
      <c r="D454" s="23" t="n">
        <f aca="false">MONTH(B454)</f>
        <v>4</v>
      </c>
      <c r="E454" s="21" t="s">
        <v>43</v>
      </c>
      <c r="F454" s="21" t="s">
        <v>65</v>
      </c>
      <c r="G454" s="21" t="s">
        <v>66</v>
      </c>
      <c r="H454" s="24" t="n">
        <v>25</v>
      </c>
      <c r="I454" s="24" t="n">
        <v>4540</v>
      </c>
      <c r="J454" s="24" t="n">
        <v>1900</v>
      </c>
      <c r="K454" s="25" t="n">
        <f aca="false">H454*I454</f>
        <v>113500</v>
      </c>
      <c r="L454" s="25" t="n">
        <f aca="false">H454*(I454-J454)</f>
        <v>66000</v>
      </c>
    </row>
    <row r="455" customFormat="false" ht="15" hidden="false" customHeight="false" outlineLevel="0" collapsed="false">
      <c r="A455" s="21" t="s">
        <v>521</v>
      </c>
      <c r="B455" s="22" t="n">
        <v>46122</v>
      </c>
      <c r="C455" s="23" t="n">
        <f aca="false">YEAR(B455)</f>
        <v>2026</v>
      </c>
      <c r="D455" s="23" t="n">
        <f aca="false">MONTH(B455)</f>
        <v>4</v>
      </c>
      <c r="E455" s="21" t="s">
        <v>48</v>
      </c>
      <c r="F455" s="21" t="s">
        <v>62</v>
      </c>
      <c r="G455" s="21" t="s">
        <v>92</v>
      </c>
      <c r="H455" s="24" t="n">
        <v>2</v>
      </c>
      <c r="I455" s="24" t="n">
        <v>13820</v>
      </c>
      <c r="J455" s="24" t="n">
        <v>9000</v>
      </c>
      <c r="K455" s="25" t="n">
        <f aca="false">H455*I455</f>
        <v>27640</v>
      </c>
      <c r="L455" s="25" t="n">
        <f aca="false">H455*(I455-J455)</f>
        <v>9640</v>
      </c>
    </row>
    <row r="456" customFormat="false" ht="15" hidden="false" customHeight="false" outlineLevel="0" collapsed="false">
      <c r="A456" s="21" t="s">
        <v>522</v>
      </c>
      <c r="B456" s="22" t="n">
        <v>46123</v>
      </c>
      <c r="C456" s="23" t="n">
        <f aca="false">YEAR(B456)</f>
        <v>2026</v>
      </c>
      <c r="D456" s="23" t="n">
        <f aca="false">MONTH(B456)</f>
        <v>4</v>
      </c>
      <c r="E456" s="21" t="s">
        <v>43</v>
      </c>
      <c r="F456" s="21" t="s">
        <v>62</v>
      </c>
      <c r="G456" s="21" t="s">
        <v>92</v>
      </c>
      <c r="H456" s="24" t="n">
        <v>6</v>
      </c>
      <c r="I456" s="24" t="n">
        <v>14090</v>
      </c>
      <c r="J456" s="24" t="n">
        <v>9000</v>
      </c>
      <c r="K456" s="25" t="n">
        <f aca="false">H456*I456</f>
        <v>84540</v>
      </c>
      <c r="L456" s="25" t="n">
        <f aca="false">H456*(I456-J456)</f>
        <v>30540</v>
      </c>
    </row>
    <row r="457" customFormat="false" ht="15" hidden="false" customHeight="false" outlineLevel="0" collapsed="false">
      <c r="A457" s="21" t="s">
        <v>523</v>
      </c>
      <c r="B457" s="22" t="n">
        <v>46124</v>
      </c>
      <c r="C457" s="23" t="n">
        <f aca="false">YEAR(B457)</f>
        <v>2026</v>
      </c>
      <c r="D457" s="23" t="n">
        <f aca="false">MONTH(B457)</f>
        <v>4</v>
      </c>
      <c r="E457" s="21" t="s">
        <v>48</v>
      </c>
      <c r="F457" s="21" t="s">
        <v>62</v>
      </c>
      <c r="G457" s="21" t="s">
        <v>92</v>
      </c>
      <c r="H457" s="24" t="n">
        <v>6</v>
      </c>
      <c r="I457" s="24" t="n">
        <v>13200</v>
      </c>
      <c r="J457" s="24" t="n">
        <v>9000</v>
      </c>
      <c r="K457" s="25" t="n">
        <f aca="false">H457*I457</f>
        <v>79200</v>
      </c>
      <c r="L457" s="25" t="n">
        <f aca="false">H457*(I457-J457)</f>
        <v>25200</v>
      </c>
    </row>
    <row r="458" customFormat="false" ht="15" hidden="false" customHeight="false" outlineLevel="0" collapsed="false">
      <c r="A458" s="21" t="s">
        <v>524</v>
      </c>
      <c r="B458" s="22" t="n">
        <v>46125</v>
      </c>
      <c r="C458" s="23" t="n">
        <f aca="false">YEAR(B458)</f>
        <v>2026</v>
      </c>
      <c r="D458" s="23" t="n">
        <f aca="false">MONTH(B458)</f>
        <v>4</v>
      </c>
      <c r="E458" s="21" t="s">
        <v>56</v>
      </c>
      <c r="F458" s="21" t="s">
        <v>65</v>
      </c>
      <c r="G458" s="21" t="s">
        <v>81</v>
      </c>
      <c r="H458" s="24" t="n">
        <v>6</v>
      </c>
      <c r="I458" s="24" t="n">
        <v>9810</v>
      </c>
      <c r="J458" s="24" t="n">
        <v>2500</v>
      </c>
      <c r="K458" s="25" t="n">
        <f aca="false">H458*I458</f>
        <v>58860</v>
      </c>
      <c r="L458" s="25" t="n">
        <f aca="false">H458*(I458-J458)</f>
        <v>43860</v>
      </c>
    </row>
    <row r="459" customFormat="false" ht="15" hidden="false" customHeight="false" outlineLevel="0" collapsed="false">
      <c r="A459" s="21" t="s">
        <v>525</v>
      </c>
      <c r="B459" s="22" t="n">
        <v>46125</v>
      </c>
      <c r="C459" s="23" t="n">
        <f aca="false">YEAR(B459)</f>
        <v>2026</v>
      </c>
      <c r="D459" s="23" t="n">
        <f aca="false">MONTH(B459)</f>
        <v>4</v>
      </c>
      <c r="E459" s="21" t="s">
        <v>76</v>
      </c>
      <c r="F459" s="21" t="s">
        <v>57</v>
      </c>
      <c r="G459" s="21" t="s">
        <v>74</v>
      </c>
      <c r="H459" s="24" t="n">
        <v>80</v>
      </c>
      <c r="I459" s="24" t="n">
        <v>338</v>
      </c>
      <c r="J459" s="24" t="n">
        <v>170</v>
      </c>
      <c r="K459" s="25" t="n">
        <f aca="false">H459*I459</f>
        <v>27040</v>
      </c>
      <c r="L459" s="25" t="n">
        <f aca="false">H459*(I459-J459)</f>
        <v>13440</v>
      </c>
    </row>
    <row r="460" customFormat="false" ht="15" hidden="false" customHeight="false" outlineLevel="0" collapsed="false">
      <c r="A460" s="21" t="s">
        <v>526</v>
      </c>
      <c r="B460" s="22" t="n">
        <v>46127</v>
      </c>
      <c r="C460" s="23" t="n">
        <f aca="false">YEAR(B460)</f>
        <v>2026</v>
      </c>
      <c r="D460" s="23" t="n">
        <f aca="false">MONTH(B460)</f>
        <v>4</v>
      </c>
      <c r="E460" s="21" t="s">
        <v>61</v>
      </c>
      <c r="F460" s="21" t="s">
        <v>57</v>
      </c>
      <c r="G460" s="21" t="s">
        <v>78</v>
      </c>
      <c r="H460" s="24" t="n">
        <v>24</v>
      </c>
      <c r="I460" s="24" t="n">
        <v>669</v>
      </c>
      <c r="J460" s="24" t="n">
        <v>320</v>
      </c>
      <c r="K460" s="25" t="n">
        <f aca="false">H460*I460</f>
        <v>16056</v>
      </c>
      <c r="L460" s="25" t="n">
        <f aca="false">H460*(I460-J460)</f>
        <v>8376</v>
      </c>
    </row>
    <row r="461" customFormat="false" ht="15" hidden="false" customHeight="false" outlineLevel="0" collapsed="false">
      <c r="A461" s="21" t="s">
        <v>527</v>
      </c>
      <c r="B461" s="22" t="n">
        <v>46127</v>
      </c>
      <c r="C461" s="23" t="n">
        <f aca="false">YEAR(B461)</f>
        <v>2026</v>
      </c>
      <c r="D461" s="23" t="n">
        <f aca="false">MONTH(B461)</f>
        <v>4</v>
      </c>
      <c r="E461" s="21" t="s">
        <v>43</v>
      </c>
      <c r="F461" s="21" t="s">
        <v>57</v>
      </c>
      <c r="G461" s="21" t="s">
        <v>58</v>
      </c>
      <c r="H461" s="24" t="n">
        <v>26</v>
      </c>
      <c r="I461" s="24" t="n">
        <v>1760</v>
      </c>
      <c r="J461" s="24" t="n">
        <v>1250</v>
      </c>
      <c r="K461" s="25" t="n">
        <f aca="false">H461*I461</f>
        <v>45760</v>
      </c>
      <c r="L461" s="25" t="n">
        <f aca="false">H461*(I461-J461)</f>
        <v>13260</v>
      </c>
    </row>
    <row r="462" customFormat="false" ht="15" hidden="false" customHeight="false" outlineLevel="0" collapsed="false">
      <c r="A462" s="21" t="s">
        <v>528</v>
      </c>
      <c r="B462" s="22" t="n">
        <v>46128</v>
      </c>
      <c r="C462" s="23" t="n">
        <f aca="false">YEAR(B462)</f>
        <v>2026</v>
      </c>
      <c r="D462" s="23" t="n">
        <f aca="false">MONTH(B462)</f>
        <v>4</v>
      </c>
      <c r="E462" s="21" t="s">
        <v>76</v>
      </c>
      <c r="F462" s="21" t="s">
        <v>44</v>
      </c>
      <c r="G462" s="21" t="s">
        <v>49</v>
      </c>
      <c r="H462" s="24" t="n">
        <v>1</v>
      </c>
      <c r="I462" s="24" t="n">
        <v>60730</v>
      </c>
      <c r="J462" s="24" t="n">
        <v>48000</v>
      </c>
      <c r="K462" s="25" t="n">
        <f aca="false">H462*I462</f>
        <v>60730</v>
      </c>
      <c r="L462" s="25" t="n">
        <f aca="false">H462*(I462-J462)</f>
        <v>12730</v>
      </c>
    </row>
    <row r="463" customFormat="false" ht="15" hidden="false" customHeight="false" outlineLevel="0" collapsed="false">
      <c r="A463" s="21" t="s">
        <v>529</v>
      </c>
      <c r="B463" s="22" t="n">
        <v>46132</v>
      </c>
      <c r="C463" s="23" t="n">
        <f aca="false">YEAR(B463)</f>
        <v>2026</v>
      </c>
      <c r="D463" s="23" t="n">
        <f aca="false">MONTH(B463)</f>
        <v>4</v>
      </c>
      <c r="E463" s="21" t="s">
        <v>43</v>
      </c>
      <c r="F463" s="21" t="s">
        <v>62</v>
      </c>
      <c r="G463" s="21" t="s">
        <v>72</v>
      </c>
      <c r="H463" s="24" t="n">
        <v>2</v>
      </c>
      <c r="I463" s="24" t="n">
        <v>7140</v>
      </c>
      <c r="J463" s="24" t="n">
        <v>4800</v>
      </c>
      <c r="K463" s="25" t="n">
        <f aca="false">H463*I463</f>
        <v>14280</v>
      </c>
      <c r="L463" s="25" t="n">
        <f aca="false">H463*(I463-J463)</f>
        <v>4680</v>
      </c>
    </row>
    <row r="464" customFormat="false" ht="15" hidden="false" customHeight="false" outlineLevel="0" collapsed="false">
      <c r="A464" s="21" t="s">
        <v>530</v>
      </c>
      <c r="B464" s="22" t="n">
        <v>46133</v>
      </c>
      <c r="C464" s="23" t="n">
        <f aca="false">YEAR(B464)</f>
        <v>2026</v>
      </c>
      <c r="D464" s="23" t="n">
        <f aca="false">MONTH(B464)</f>
        <v>4</v>
      </c>
      <c r="E464" s="21" t="s">
        <v>56</v>
      </c>
      <c r="F464" s="21" t="s">
        <v>57</v>
      </c>
      <c r="G464" s="21" t="s">
        <v>74</v>
      </c>
      <c r="H464" s="24" t="n">
        <v>18</v>
      </c>
      <c r="I464" s="24" t="n">
        <v>353</v>
      </c>
      <c r="J464" s="24" t="n">
        <v>170</v>
      </c>
      <c r="K464" s="25" t="n">
        <f aca="false">H464*I464</f>
        <v>6354</v>
      </c>
      <c r="L464" s="25" t="n">
        <f aca="false">H464*(I464-J464)</f>
        <v>3294</v>
      </c>
    </row>
    <row r="465" customFormat="false" ht="15" hidden="false" customHeight="false" outlineLevel="0" collapsed="false">
      <c r="A465" s="21" t="s">
        <v>531</v>
      </c>
      <c r="B465" s="22" t="n">
        <v>46134</v>
      </c>
      <c r="C465" s="23" t="n">
        <f aca="false">YEAR(B465)</f>
        <v>2026</v>
      </c>
      <c r="D465" s="23" t="n">
        <f aca="false">MONTH(B465)</f>
        <v>4</v>
      </c>
      <c r="E465" s="21" t="s">
        <v>76</v>
      </c>
      <c r="F465" s="21" t="s">
        <v>65</v>
      </c>
      <c r="G465" s="21" t="s">
        <v>81</v>
      </c>
      <c r="H465" s="24" t="n">
        <v>12</v>
      </c>
      <c r="I465" s="24" t="n">
        <v>9180</v>
      </c>
      <c r="J465" s="24" t="n">
        <v>2500</v>
      </c>
      <c r="K465" s="25" t="n">
        <f aca="false">H465*I465</f>
        <v>110160</v>
      </c>
      <c r="L465" s="25" t="n">
        <f aca="false">H465*(I465-J465)</f>
        <v>80160</v>
      </c>
    </row>
    <row r="466" customFormat="false" ht="15" hidden="false" customHeight="false" outlineLevel="0" collapsed="false">
      <c r="A466" s="21" t="s">
        <v>532</v>
      </c>
      <c r="B466" s="22" t="n">
        <v>46134</v>
      </c>
      <c r="C466" s="23" t="n">
        <f aca="false">YEAR(B466)</f>
        <v>2026</v>
      </c>
      <c r="D466" s="23" t="n">
        <f aca="false">MONTH(B466)</f>
        <v>4</v>
      </c>
      <c r="E466" s="21" t="s">
        <v>48</v>
      </c>
      <c r="F466" s="21" t="s">
        <v>62</v>
      </c>
      <c r="G466" s="21" t="s">
        <v>72</v>
      </c>
      <c r="H466" s="24" t="n">
        <v>4</v>
      </c>
      <c r="I466" s="24" t="n">
        <v>7410</v>
      </c>
      <c r="J466" s="24" t="n">
        <v>4800</v>
      </c>
      <c r="K466" s="25" t="n">
        <f aca="false">H466*I466</f>
        <v>29640</v>
      </c>
      <c r="L466" s="25" t="n">
        <f aca="false">H466*(I466-J466)</f>
        <v>10440</v>
      </c>
    </row>
    <row r="467" customFormat="false" ht="15" hidden="false" customHeight="false" outlineLevel="0" collapsed="false">
      <c r="A467" s="21" t="s">
        <v>533</v>
      </c>
      <c r="B467" s="22" t="n">
        <v>46135</v>
      </c>
      <c r="C467" s="23" t="n">
        <f aca="false">YEAR(B467)</f>
        <v>2026</v>
      </c>
      <c r="D467" s="23" t="n">
        <f aca="false">MONTH(B467)</f>
        <v>4</v>
      </c>
      <c r="E467" s="21" t="s">
        <v>76</v>
      </c>
      <c r="F467" s="21" t="s">
        <v>57</v>
      </c>
      <c r="G467" s="21" t="s">
        <v>58</v>
      </c>
      <c r="H467" s="24" t="n">
        <v>24</v>
      </c>
      <c r="I467" s="24" t="n">
        <v>1750</v>
      </c>
      <c r="J467" s="24" t="n">
        <v>1250</v>
      </c>
      <c r="K467" s="25" t="n">
        <f aca="false">H467*I467</f>
        <v>42000</v>
      </c>
      <c r="L467" s="25" t="n">
        <f aca="false">H467*(I467-J467)</f>
        <v>12000</v>
      </c>
    </row>
    <row r="468" customFormat="false" ht="15" hidden="false" customHeight="false" outlineLevel="0" collapsed="false">
      <c r="A468" s="21" t="s">
        <v>534</v>
      </c>
      <c r="B468" s="22" t="n">
        <v>46135</v>
      </c>
      <c r="C468" s="23" t="n">
        <f aca="false">YEAR(B468)</f>
        <v>2026</v>
      </c>
      <c r="D468" s="23" t="n">
        <f aca="false">MONTH(B468)</f>
        <v>4</v>
      </c>
      <c r="E468" s="21" t="s">
        <v>48</v>
      </c>
      <c r="F468" s="21" t="s">
        <v>44</v>
      </c>
      <c r="G468" s="21" t="s">
        <v>45</v>
      </c>
      <c r="H468" s="24" t="n">
        <v>9</v>
      </c>
      <c r="I468" s="24" t="n">
        <v>4490</v>
      </c>
      <c r="J468" s="24" t="n">
        <v>2800</v>
      </c>
      <c r="K468" s="25" t="n">
        <f aca="false">H468*I468</f>
        <v>40410</v>
      </c>
      <c r="L468" s="25" t="n">
        <f aca="false">H468*(I468-J468)</f>
        <v>15210</v>
      </c>
    </row>
    <row r="469" customFormat="false" ht="15" hidden="false" customHeight="false" outlineLevel="0" collapsed="false">
      <c r="A469" s="21" t="s">
        <v>535</v>
      </c>
      <c r="B469" s="22" t="n">
        <v>46135</v>
      </c>
      <c r="C469" s="23" t="n">
        <f aca="false">YEAR(B469)</f>
        <v>2026</v>
      </c>
      <c r="D469" s="23" t="n">
        <f aca="false">MONTH(B469)</f>
        <v>4</v>
      </c>
      <c r="E469" s="21" t="s">
        <v>56</v>
      </c>
      <c r="F469" s="21" t="s">
        <v>65</v>
      </c>
      <c r="G469" s="21" t="s">
        <v>81</v>
      </c>
      <c r="H469" s="24" t="n">
        <v>10</v>
      </c>
      <c r="I469" s="24" t="n">
        <v>9800</v>
      </c>
      <c r="J469" s="24" t="n">
        <v>2500</v>
      </c>
      <c r="K469" s="25" t="n">
        <f aca="false">H469*I469</f>
        <v>98000</v>
      </c>
      <c r="L469" s="25" t="n">
        <f aca="false">H469*(I469-J469)</f>
        <v>73000</v>
      </c>
    </row>
    <row r="470" customFormat="false" ht="15" hidden="false" customHeight="false" outlineLevel="0" collapsed="false">
      <c r="A470" s="21" t="s">
        <v>536</v>
      </c>
      <c r="B470" s="22" t="n">
        <v>46135</v>
      </c>
      <c r="C470" s="23" t="n">
        <f aca="false">YEAR(B470)</f>
        <v>2026</v>
      </c>
      <c r="D470" s="23" t="n">
        <f aca="false">MONTH(B470)</f>
        <v>4</v>
      </c>
      <c r="E470" s="21" t="s">
        <v>56</v>
      </c>
      <c r="F470" s="21" t="s">
        <v>57</v>
      </c>
      <c r="G470" s="21" t="s">
        <v>78</v>
      </c>
      <c r="H470" s="24" t="n">
        <v>30</v>
      </c>
      <c r="I470" s="24" t="n">
        <v>625</v>
      </c>
      <c r="J470" s="24" t="n">
        <v>320</v>
      </c>
      <c r="K470" s="25" t="n">
        <f aca="false">H470*I470</f>
        <v>18750</v>
      </c>
      <c r="L470" s="25" t="n">
        <f aca="false">H470*(I470-J470)</f>
        <v>9150</v>
      </c>
    </row>
    <row r="471" customFormat="false" ht="15" hidden="false" customHeight="false" outlineLevel="0" collapsed="false">
      <c r="A471" s="21" t="s">
        <v>537</v>
      </c>
      <c r="B471" s="22" t="n">
        <v>46135</v>
      </c>
      <c r="C471" s="23" t="n">
        <f aca="false">YEAR(B471)</f>
        <v>2026</v>
      </c>
      <c r="D471" s="23" t="n">
        <f aca="false">MONTH(B471)</f>
        <v>4</v>
      </c>
      <c r="E471" s="21" t="s">
        <v>43</v>
      </c>
      <c r="F471" s="21" t="s">
        <v>62</v>
      </c>
      <c r="G471" s="21" t="s">
        <v>92</v>
      </c>
      <c r="H471" s="24" t="n">
        <v>6</v>
      </c>
      <c r="I471" s="24" t="n">
        <v>13240</v>
      </c>
      <c r="J471" s="24" t="n">
        <v>9000</v>
      </c>
      <c r="K471" s="25" t="n">
        <f aca="false">H471*I471</f>
        <v>79440</v>
      </c>
      <c r="L471" s="25" t="n">
        <f aca="false">H471*(I471-J471)</f>
        <v>25440</v>
      </c>
    </row>
    <row r="472" customFormat="false" ht="15" hidden="false" customHeight="false" outlineLevel="0" collapsed="false">
      <c r="A472" s="21" t="s">
        <v>538</v>
      </c>
      <c r="B472" s="22" t="n">
        <v>46138</v>
      </c>
      <c r="C472" s="23" t="n">
        <f aca="false">YEAR(B472)</f>
        <v>2026</v>
      </c>
      <c r="D472" s="23" t="n">
        <f aca="false">MONTH(B472)</f>
        <v>4</v>
      </c>
      <c r="E472" s="21" t="s">
        <v>76</v>
      </c>
      <c r="F472" s="21" t="s">
        <v>62</v>
      </c>
      <c r="G472" s="21" t="s">
        <v>63</v>
      </c>
      <c r="H472" s="24" t="n">
        <v>4</v>
      </c>
      <c r="I472" s="24" t="n">
        <v>27340</v>
      </c>
      <c r="J472" s="24" t="n">
        <v>19500</v>
      </c>
      <c r="K472" s="25" t="n">
        <f aca="false">H472*I472</f>
        <v>109360</v>
      </c>
      <c r="L472" s="25" t="n">
        <f aca="false">H472*(I472-J472)</f>
        <v>31360</v>
      </c>
    </row>
    <row r="473" customFormat="false" ht="15" hidden="false" customHeight="false" outlineLevel="0" collapsed="false">
      <c r="A473" s="21" t="s">
        <v>539</v>
      </c>
      <c r="B473" s="22" t="n">
        <v>46140</v>
      </c>
      <c r="C473" s="23" t="n">
        <f aca="false">YEAR(B473)</f>
        <v>2026</v>
      </c>
      <c r="D473" s="23" t="n">
        <f aca="false">MONTH(B473)</f>
        <v>4</v>
      </c>
      <c r="E473" s="21" t="s">
        <v>76</v>
      </c>
      <c r="F473" s="21" t="s">
        <v>57</v>
      </c>
      <c r="G473" s="21" t="s">
        <v>78</v>
      </c>
      <c r="H473" s="24" t="n">
        <v>51</v>
      </c>
      <c r="I473" s="24" t="n">
        <v>678</v>
      </c>
      <c r="J473" s="24" t="n">
        <v>320</v>
      </c>
      <c r="K473" s="25" t="n">
        <f aca="false">H473*I473</f>
        <v>34578</v>
      </c>
      <c r="L473" s="25" t="n">
        <f aca="false">H473*(I473-J473)</f>
        <v>18258</v>
      </c>
    </row>
    <row r="474" customFormat="false" ht="15" hidden="false" customHeight="false" outlineLevel="0" collapsed="false">
      <c r="A474" s="21" t="s">
        <v>540</v>
      </c>
      <c r="B474" s="22" t="n">
        <v>46141</v>
      </c>
      <c r="C474" s="23" t="n">
        <f aca="false">YEAR(B474)</f>
        <v>2026</v>
      </c>
      <c r="D474" s="23" t="n">
        <f aca="false">MONTH(B474)</f>
        <v>4</v>
      </c>
      <c r="E474" s="21" t="s">
        <v>43</v>
      </c>
      <c r="F474" s="21" t="s">
        <v>44</v>
      </c>
      <c r="G474" s="21" t="s">
        <v>45</v>
      </c>
      <c r="H474" s="24" t="n">
        <v>6</v>
      </c>
      <c r="I474" s="24" t="n">
        <v>4250</v>
      </c>
      <c r="J474" s="24" t="n">
        <v>2800</v>
      </c>
      <c r="K474" s="25" t="n">
        <f aca="false">H474*I474</f>
        <v>25500</v>
      </c>
      <c r="L474" s="25" t="n">
        <f aca="false">H474*(I474-J474)</f>
        <v>8700</v>
      </c>
    </row>
    <row r="475" customFormat="false" ht="15" hidden="false" customHeight="false" outlineLevel="0" collapsed="false">
      <c r="A475" s="21" t="s">
        <v>541</v>
      </c>
      <c r="B475" s="22" t="n">
        <v>46141</v>
      </c>
      <c r="C475" s="23" t="n">
        <f aca="false">YEAR(B475)</f>
        <v>2026</v>
      </c>
      <c r="D475" s="23" t="n">
        <f aca="false">MONTH(B475)</f>
        <v>4</v>
      </c>
      <c r="E475" s="21" t="s">
        <v>48</v>
      </c>
      <c r="F475" s="21" t="s">
        <v>62</v>
      </c>
      <c r="G475" s="21" t="s">
        <v>92</v>
      </c>
      <c r="H475" s="24" t="n">
        <v>1</v>
      </c>
      <c r="I475" s="24" t="n">
        <v>14350</v>
      </c>
      <c r="J475" s="24" t="n">
        <v>9000</v>
      </c>
      <c r="K475" s="25" t="n">
        <f aca="false">H475*I475</f>
        <v>14350</v>
      </c>
      <c r="L475" s="25" t="n">
        <f aca="false">H475*(I475-J475)</f>
        <v>5350</v>
      </c>
    </row>
    <row r="476" customFormat="false" ht="15" hidden="false" customHeight="false" outlineLevel="0" collapsed="false">
      <c r="A476" s="21" t="s">
        <v>542</v>
      </c>
      <c r="B476" s="22" t="n">
        <v>46141</v>
      </c>
      <c r="C476" s="23" t="n">
        <f aca="false">YEAR(B476)</f>
        <v>2026</v>
      </c>
      <c r="D476" s="23" t="n">
        <f aca="false">MONTH(B476)</f>
        <v>4</v>
      </c>
      <c r="E476" s="21" t="s">
        <v>48</v>
      </c>
      <c r="F476" s="21" t="s">
        <v>65</v>
      </c>
      <c r="G476" s="21" t="s">
        <v>66</v>
      </c>
      <c r="H476" s="24" t="n">
        <v>8</v>
      </c>
      <c r="I476" s="24" t="n">
        <v>4890</v>
      </c>
      <c r="J476" s="24" t="n">
        <v>1900</v>
      </c>
      <c r="K476" s="25" t="n">
        <f aca="false">H476*I476</f>
        <v>39120</v>
      </c>
      <c r="L476" s="25" t="n">
        <f aca="false">H476*(I476-J476)</f>
        <v>23920</v>
      </c>
    </row>
    <row r="477" customFormat="false" ht="15" hidden="false" customHeight="false" outlineLevel="0" collapsed="false">
      <c r="A477" s="21" t="s">
        <v>543</v>
      </c>
      <c r="B477" s="22" t="n">
        <v>46141</v>
      </c>
      <c r="C477" s="23" t="n">
        <f aca="false">YEAR(B477)</f>
        <v>2026</v>
      </c>
      <c r="D477" s="23" t="n">
        <f aca="false">MONTH(B477)</f>
        <v>4</v>
      </c>
      <c r="E477" s="21" t="s">
        <v>76</v>
      </c>
      <c r="F477" s="21" t="s">
        <v>65</v>
      </c>
      <c r="G477" s="21" t="s">
        <v>66</v>
      </c>
      <c r="H477" s="24" t="n">
        <v>17</v>
      </c>
      <c r="I477" s="24" t="n">
        <v>4680</v>
      </c>
      <c r="J477" s="24" t="n">
        <v>1900</v>
      </c>
      <c r="K477" s="25" t="n">
        <f aca="false">H477*I477</f>
        <v>79560</v>
      </c>
      <c r="L477" s="25" t="n">
        <f aca="false">H477*(I477-J477)</f>
        <v>47260</v>
      </c>
    </row>
    <row r="478" customFormat="false" ht="15" hidden="false" customHeight="false" outlineLevel="0" collapsed="false">
      <c r="A478" s="21" t="s">
        <v>544</v>
      </c>
      <c r="B478" s="22" t="n">
        <v>46142</v>
      </c>
      <c r="C478" s="23" t="n">
        <f aca="false">YEAR(B478)</f>
        <v>2026</v>
      </c>
      <c r="D478" s="23" t="n">
        <f aca="false">MONTH(B478)</f>
        <v>4</v>
      </c>
      <c r="E478" s="21" t="s">
        <v>56</v>
      </c>
      <c r="F478" s="21" t="s">
        <v>57</v>
      </c>
      <c r="G478" s="21" t="s">
        <v>78</v>
      </c>
      <c r="H478" s="24" t="n">
        <v>38</v>
      </c>
      <c r="I478" s="24" t="n">
        <v>649</v>
      </c>
      <c r="J478" s="24" t="n">
        <v>320</v>
      </c>
      <c r="K478" s="25" t="n">
        <f aca="false">H478*I478</f>
        <v>24662</v>
      </c>
      <c r="L478" s="25" t="n">
        <f aca="false">H478*(I478-J478)</f>
        <v>12502</v>
      </c>
    </row>
    <row r="479" customFormat="false" ht="15" hidden="false" customHeight="false" outlineLevel="0" collapsed="false">
      <c r="A479" s="21" t="s">
        <v>545</v>
      </c>
      <c r="B479" s="22" t="n">
        <v>46143</v>
      </c>
      <c r="C479" s="23" t="n">
        <f aca="false">YEAR(B479)</f>
        <v>2026</v>
      </c>
      <c r="D479" s="23" t="n">
        <f aca="false">MONTH(B479)</f>
        <v>5</v>
      </c>
      <c r="E479" s="21" t="s">
        <v>43</v>
      </c>
      <c r="F479" s="21" t="s">
        <v>44</v>
      </c>
      <c r="G479" s="21" t="s">
        <v>49</v>
      </c>
      <c r="H479" s="24" t="n">
        <v>1</v>
      </c>
      <c r="I479" s="24" t="n">
        <v>59650</v>
      </c>
      <c r="J479" s="24" t="n">
        <v>48000</v>
      </c>
      <c r="K479" s="25" t="n">
        <f aca="false">H479*I479</f>
        <v>59650</v>
      </c>
      <c r="L479" s="25" t="n">
        <f aca="false">H479*(I479-J479)</f>
        <v>11650</v>
      </c>
    </row>
    <row r="480" customFormat="false" ht="15" hidden="false" customHeight="false" outlineLevel="0" collapsed="false">
      <c r="A480" s="21" t="s">
        <v>546</v>
      </c>
      <c r="B480" s="22" t="n">
        <v>46145</v>
      </c>
      <c r="C480" s="23" t="n">
        <f aca="false">YEAR(B480)</f>
        <v>2026</v>
      </c>
      <c r="D480" s="23" t="n">
        <f aca="false">MONTH(B480)</f>
        <v>5</v>
      </c>
      <c r="E480" s="21" t="s">
        <v>76</v>
      </c>
      <c r="F480" s="21" t="s">
        <v>44</v>
      </c>
      <c r="G480" s="21" t="s">
        <v>69</v>
      </c>
      <c r="H480" s="24" t="n">
        <v>2</v>
      </c>
      <c r="I480" s="24" t="n">
        <v>21330</v>
      </c>
      <c r="J480" s="24" t="n">
        <v>15500</v>
      </c>
      <c r="K480" s="25" t="n">
        <f aca="false">H480*I480</f>
        <v>42660</v>
      </c>
      <c r="L480" s="25" t="n">
        <f aca="false">H480*(I480-J480)</f>
        <v>11660</v>
      </c>
    </row>
    <row r="481" customFormat="false" ht="15" hidden="false" customHeight="false" outlineLevel="0" collapsed="false">
      <c r="A481" s="21" t="s">
        <v>547</v>
      </c>
      <c r="B481" s="22" t="n">
        <v>46145</v>
      </c>
      <c r="C481" s="23" t="n">
        <f aca="false">YEAR(B481)</f>
        <v>2026</v>
      </c>
      <c r="D481" s="23" t="n">
        <f aca="false">MONTH(B481)</f>
        <v>5</v>
      </c>
      <c r="E481" s="21" t="s">
        <v>56</v>
      </c>
      <c r="F481" s="21" t="s">
        <v>57</v>
      </c>
      <c r="G481" s="21" t="s">
        <v>78</v>
      </c>
      <c r="H481" s="24" t="n">
        <v>41</v>
      </c>
      <c r="I481" s="24" t="n">
        <v>653</v>
      </c>
      <c r="J481" s="24" t="n">
        <v>320</v>
      </c>
      <c r="K481" s="25" t="n">
        <f aca="false">H481*I481</f>
        <v>26773</v>
      </c>
      <c r="L481" s="25" t="n">
        <f aca="false">H481*(I481-J481)</f>
        <v>13653</v>
      </c>
    </row>
    <row r="482" customFormat="false" ht="15" hidden="false" customHeight="false" outlineLevel="0" collapsed="false">
      <c r="A482" s="21" t="s">
        <v>548</v>
      </c>
      <c r="B482" s="22" t="n">
        <v>46148</v>
      </c>
      <c r="C482" s="23" t="n">
        <f aca="false">YEAR(B482)</f>
        <v>2026</v>
      </c>
      <c r="D482" s="23" t="n">
        <f aca="false">MONTH(B482)</f>
        <v>5</v>
      </c>
      <c r="E482" s="21" t="s">
        <v>43</v>
      </c>
      <c r="F482" s="21" t="s">
        <v>44</v>
      </c>
      <c r="G482" s="21" t="s">
        <v>45</v>
      </c>
      <c r="H482" s="24" t="n">
        <v>10</v>
      </c>
      <c r="I482" s="24" t="n">
        <v>4590</v>
      </c>
      <c r="J482" s="24" t="n">
        <v>2800</v>
      </c>
      <c r="K482" s="25" t="n">
        <f aca="false">H482*I482</f>
        <v>45900</v>
      </c>
      <c r="L482" s="25" t="n">
        <f aca="false">H482*(I482-J482)</f>
        <v>17900</v>
      </c>
    </row>
    <row r="483" customFormat="false" ht="15" hidden="false" customHeight="false" outlineLevel="0" collapsed="false">
      <c r="A483" s="21" t="s">
        <v>549</v>
      </c>
      <c r="B483" s="22" t="n">
        <v>46148</v>
      </c>
      <c r="C483" s="23" t="n">
        <f aca="false">YEAR(B483)</f>
        <v>2026</v>
      </c>
      <c r="D483" s="23" t="n">
        <f aca="false">MONTH(B483)</f>
        <v>5</v>
      </c>
      <c r="E483" s="21" t="s">
        <v>56</v>
      </c>
      <c r="F483" s="21" t="s">
        <v>62</v>
      </c>
      <c r="G483" s="21" t="s">
        <v>92</v>
      </c>
      <c r="H483" s="24" t="n">
        <v>1</v>
      </c>
      <c r="I483" s="24" t="n">
        <v>14190</v>
      </c>
      <c r="J483" s="24" t="n">
        <v>9000</v>
      </c>
      <c r="K483" s="25" t="n">
        <f aca="false">H483*I483</f>
        <v>14190</v>
      </c>
      <c r="L483" s="25" t="n">
        <f aca="false">H483*(I483-J483)</f>
        <v>5190</v>
      </c>
    </row>
    <row r="484" customFormat="false" ht="15" hidden="false" customHeight="false" outlineLevel="0" collapsed="false">
      <c r="A484" s="21" t="s">
        <v>550</v>
      </c>
      <c r="B484" s="22" t="n">
        <v>46149</v>
      </c>
      <c r="C484" s="23" t="n">
        <f aca="false">YEAR(B484)</f>
        <v>2026</v>
      </c>
      <c r="D484" s="23" t="n">
        <f aca="false">MONTH(B484)</f>
        <v>5</v>
      </c>
      <c r="E484" s="21" t="s">
        <v>43</v>
      </c>
      <c r="F484" s="21" t="s">
        <v>62</v>
      </c>
      <c r="G484" s="21" t="s">
        <v>72</v>
      </c>
      <c r="H484" s="24" t="n">
        <v>4</v>
      </c>
      <c r="I484" s="24" t="n">
        <v>7060</v>
      </c>
      <c r="J484" s="24" t="n">
        <v>4800</v>
      </c>
      <c r="K484" s="25" t="n">
        <f aca="false">H484*I484</f>
        <v>28240</v>
      </c>
      <c r="L484" s="25" t="n">
        <f aca="false">H484*(I484-J484)</f>
        <v>9040</v>
      </c>
    </row>
    <row r="485" customFormat="false" ht="15" hidden="false" customHeight="false" outlineLevel="0" collapsed="false">
      <c r="A485" s="21" t="s">
        <v>551</v>
      </c>
      <c r="B485" s="22" t="n">
        <v>46151</v>
      </c>
      <c r="C485" s="23" t="n">
        <f aca="false">YEAR(B485)</f>
        <v>2026</v>
      </c>
      <c r="D485" s="23" t="n">
        <f aca="false">MONTH(B485)</f>
        <v>5</v>
      </c>
      <c r="E485" s="21" t="s">
        <v>56</v>
      </c>
      <c r="F485" s="21" t="s">
        <v>65</v>
      </c>
      <c r="G485" s="21" t="s">
        <v>81</v>
      </c>
      <c r="H485" s="24" t="n">
        <v>10</v>
      </c>
      <c r="I485" s="24" t="n">
        <v>9750</v>
      </c>
      <c r="J485" s="24" t="n">
        <v>2500</v>
      </c>
      <c r="K485" s="25" t="n">
        <f aca="false">H485*I485</f>
        <v>97500</v>
      </c>
      <c r="L485" s="25" t="n">
        <f aca="false">H485*(I485-J485)</f>
        <v>72500</v>
      </c>
    </row>
    <row r="486" customFormat="false" ht="15" hidden="false" customHeight="false" outlineLevel="0" collapsed="false">
      <c r="A486" s="21" t="s">
        <v>552</v>
      </c>
      <c r="B486" s="22" t="n">
        <v>46151</v>
      </c>
      <c r="C486" s="23" t="n">
        <f aca="false">YEAR(B486)</f>
        <v>2026</v>
      </c>
      <c r="D486" s="23" t="n">
        <f aca="false">MONTH(B486)</f>
        <v>5</v>
      </c>
      <c r="E486" s="21" t="s">
        <v>48</v>
      </c>
      <c r="F486" s="21" t="s">
        <v>44</v>
      </c>
      <c r="G486" s="21" t="s">
        <v>49</v>
      </c>
      <c r="H486" s="24" t="n">
        <v>1</v>
      </c>
      <c r="I486" s="24" t="n">
        <v>60650</v>
      </c>
      <c r="J486" s="24" t="n">
        <v>48000</v>
      </c>
      <c r="K486" s="25" t="n">
        <f aca="false">H486*I486</f>
        <v>60650</v>
      </c>
      <c r="L486" s="25" t="n">
        <f aca="false">H486*(I486-J486)</f>
        <v>12650</v>
      </c>
    </row>
    <row r="487" customFormat="false" ht="15" hidden="false" customHeight="false" outlineLevel="0" collapsed="false">
      <c r="A487" s="21" t="s">
        <v>553</v>
      </c>
      <c r="B487" s="22" t="n">
        <v>46152</v>
      </c>
      <c r="C487" s="23" t="n">
        <f aca="false">YEAR(B487)</f>
        <v>2026</v>
      </c>
      <c r="D487" s="23" t="n">
        <f aca="false">MONTH(B487)</f>
        <v>5</v>
      </c>
      <c r="E487" s="21" t="s">
        <v>56</v>
      </c>
      <c r="F487" s="21" t="s">
        <v>65</v>
      </c>
      <c r="G487" s="21" t="s">
        <v>66</v>
      </c>
      <c r="H487" s="24" t="n">
        <v>9</v>
      </c>
      <c r="I487" s="24" t="n">
        <v>4570</v>
      </c>
      <c r="J487" s="24" t="n">
        <v>1900</v>
      </c>
      <c r="K487" s="25" t="n">
        <f aca="false">H487*I487</f>
        <v>41130</v>
      </c>
      <c r="L487" s="25" t="n">
        <f aca="false">H487*(I487-J487)</f>
        <v>24030</v>
      </c>
    </row>
    <row r="488" customFormat="false" ht="15" hidden="false" customHeight="false" outlineLevel="0" collapsed="false">
      <c r="A488" s="21" t="s">
        <v>554</v>
      </c>
      <c r="B488" s="22" t="n">
        <v>46152</v>
      </c>
      <c r="C488" s="23" t="n">
        <f aca="false">YEAR(B488)</f>
        <v>2026</v>
      </c>
      <c r="D488" s="23" t="n">
        <f aca="false">MONTH(B488)</f>
        <v>5</v>
      </c>
      <c r="E488" s="21" t="s">
        <v>56</v>
      </c>
      <c r="F488" s="21" t="s">
        <v>57</v>
      </c>
      <c r="G488" s="21" t="s">
        <v>74</v>
      </c>
      <c r="H488" s="24" t="n">
        <v>64</v>
      </c>
      <c r="I488" s="24" t="n">
        <v>338</v>
      </c>
      <c r="J488" s="24" t="n">
        <v>170</v>
      </c>
      <c r="K488" s="25" t="n">
        <f aca="false">H488*I488</f>
        <v>21632</v>
      </c>
      <c r="L488" s="25" t="n">
        <f aca="false">H488*(I488-J488)</f>
        <v>10752</v>
      </c>
    </row>
    <row r="489" customFormat="false" ht="15" hidden="false" customHeight="false" outlineLevel="0" collapsed="false">
      <c r="A489" s="21" t="s">
        <v>555</v>
      </c>
      <c r="B489" s="22" t="n">
        <v>46153</v>
      </c>
      <c r="C489" s="23" t="n">
        <f aca="false">YEAR(B489)</f>
        <v>2026</v>
      </c>
      <c r="D489" s="23" t="n">
        <f aca="false">MONTH(B489)</f>
        <v>5</v>
      </c>
      <c r="E489" s="21" t="s">
        <v>43</v>
      </c>
      <c r="F489" s="21" t="s">
        <v>44</v>
      </c>
      <c r="G489" s="21" t="s">
        <v>45</v>
      </c>
      <c r="H489" s="24" t="n">
        <v>5</v>
      </c>
      <c r="I489" s="24" t="n">
        <v>4580</v>
      </c>
      <c r="J489" s="24" t="n">
        <v>2800</v>
      </c>
      <c r="K489" s="25" t="n">
        <f aca="false">H489*I489</f>
        <v>22900</v>
      </c>
      <c r="L489" s="25" t="n">
        <f aca="false">H489*(I489-J489)</f>
        <v>8900</v>
      </c>
    </row>
    <row r="490" customFormat="false" ht="15" hidden="false" customHeight="false" outlineLevel="0" collapsed="false">
      <c r="A490" s="21" t="s">
        <v>556</v>
      </c>
      <c r="B490" s="22" t="n">
        <v>46154</v>
      </c>
      <c r="C490" s="23" t="n">
        <f aca="false">YEAR(B490)</f>
        <v>2026</v>
      </c>
      <c r="D490" s="23" t="n">
        <f aca="false">MONTH(B490)</f>
        <v>5</v>
      </c>
      <c r="E490" s="21" t="s">
        <v>76</v>
      </c>
      <c r="F490" s="21" t="s">
        <v>57</v>
      </c>
      <c r="G490" s="21" t="s">
        <v>78</v>
      </c>
      <c r="H490" s="24" t="n">
        <v>48</v>
      </c>
      <c r="I490" s="24" t="n">
        <v>653</v>
      </c>
      <c r="J490" s="24" t="n">
        <v>320</v>
      </c>
      <c r="K490" s="25" t="n">
        <f aca="false">H490*I490</f>
        <v>31344</v>
      </c>
      <c r="L490" s="25" t="n">
        <f aca="false">H490*(I490-J490)</f>
        <v>15984</v>
      </c>
    </row>
    <row r="491" customFormat="false" ht="15" hidden="false" customHeight="false" outlineLevel="0" collapsed="false">
      <c r="A491" s="21" t="s">
        <v>557</v>
      </c>
      <c r="B491" s="22" t="n">
        <v>46154</v>
      </c>
      <c r="C491" s="23" t="n">
        <f aca="false">YEAR(B491)</f>
        <v>2026</v>
      </c>
      <c r="D491" s="23" t="n">
        <f aca="false">MONTH(B491)</f>
        <v>5</v>
      </c>
      <c r="E491" s="21" t="s">
        <v>56</v>
      </c>
      <c r="F491" s="21" t="s">
        <v>62</v>
      </c>
      <c r="G491" s="21" t="s">
        <v>92</v>
      </c>
      <c r="H491" s="24" t="n">
        <v>3</v>
      </c>
      <c r="I491" s="24" t="n">
        <v>13900</v>
      </c>
      <c r="J491" s="24" t="n">
        <v>9000</v>
      </c>
      <c r="K491" s="25" t="n">
        <f aca="false">H491*I491</f>
        <v>41700</v>
      </c>
      <c r="L491" s="25" t="n">
        <f aca="false">H491*(I491-J491)</f>
        <v>14700</v>
      </c>
    </row>
    <row r="492" customFormat="false" ht="15" hidden="false" customHeight="false" outlineLevel="0" collapsed="false">
      <c r="A492" s="21" t="s">
        <v>558</v>
      </c>
      <c r="B492" s="22" t="n">
        <v>46154</v>
      </c>
      <c r="C492" s="23" t="n">
        <f aca="false">YEAR(B492)</f>
        <v>2026</v>
      </c>
      <c r="D492" s="23" t="n">
        <f aca="false">MONTH(B492)</f>
        <v>5</v>
      </c>
      <c r="E492" s="21" t="s">
        <v>76</v>
      </c>
      <c r="F492" s="21" t="s">
        <v>65</v>
      </c>
      <c r="G492" s="21" t="s">
        <v>66</v>
      </c>
      <c r="H492" s="24" t="n">
        <v>23</v>
      </c>
      <c r="I492" s="24" t="n">
        <v>4890</v>
      </c>
      <c r="J492" s="24" t="n">
        <v>1900</v>
      </c>
      <c r="K492" s="25" t="n">
        <f aca="false">H492*I492</f>
        <v>112470</v>
      </c>
      <c r="L492" s="25" t="n">
        <f aca="false">H492*(I492-J492)</f>
        <v>68770</v>
      </c>
    </row>
    <row r="493" customFormat="false" ht="15" hidden="false" customHeight="false" outlineLevel="0" collapsed="false">
      <c r="A493" s="21" t="s">
        <v>559</v>
      </c>
      <c r="B493" s="22" t="n">
        <v>46155</v>
      </c>
      <c r="C493" s="23" t="n">
        <f aca="false">YEAR(B493)</f>
        <v>2026</v>
      </c>
      <c r="D493" s="23" t="n">
        <f aca="false">MONTH(B493)</f>
        <v>5</v>
      </c>
      <c r="E493" s="21" t="s">
        <v>56</v>
      </c>
      <c r="F493" s="21" t="s">
        <v>44</v>
      </c>
      <c r="G493" s="21" t="s">
        <v>45</v>
      </c>
      <c r="H493" s="24" t="n">
        <v>8</v>
      </c>
      <c r="I493" s="24" t="n">
        <v>4640</v>
      </c>
      <c r="J493" s="24" t="n">
        <v>2800</v>
      </c>
      <c r="K493" s="25" t="n">
        <f aca="false">H493*I493</f>
        <v>37120</v>
      </c>
      <c r="L493" s="25" t="n">
        <f aca="false">H493*(I493-J493)</f>
        <v>14720</v>
      </c>
    </row>
    <row r="494" customFormat="false" ht="15" hidden="false" customHeight="false" outlineLevel="0" collapsed="false">
      <c r="A494" s="21" t="s">
        <v>560</v>
      </c>
      <c r="B494" s="22" t="n">
        <v>46155</v>
      </c>
      <c r="C494" s="23" t="n">
        <f aca="false">YEAR(B494)</f>
        <v>2026</v>
      </c>
      <c r="D494" s="23" t="n">
        <f aca="false">MONTH(B494)</f>
        <v>5</v>
      </c>
      <c r="E494" s="21" t="s">
        <v>56</v>
      </c>
      <c r="F494" s="21" t="s">
        <v>65</v>
      </c>
      <c r="G494" s="21" t="s">
        <v>66</v>
      </c>
      <c r="H494" s="24" t="n">
        <v>6</v>
      </c>
      <c r="I494" s="24" t="n">
        <v>4830</v>
      </c>
      <c r="J494" s="24" t="n">
        <v>1900</v>
      </c>
      <c r="K494" s="25" t="n">
        <f aca="false">H494*I494</f>
        <v>28980</v>
      </c>
      <c r="L494" s="25" t="n">
        <f aca="false">H494*(I494-J494)</f>
        <v>17580</v>
      </c>
    </row>
    <row r="495" customFormat="false" ht="15" hidden="false" customHeight="false" outlineLevel="0" collapsed="false">
      <c r="A495" s="21" t="s">
        <v>561</v>
      </c>
      <c r="B495" s="22" t="n">
        <v>46158</v>
      </c>
      <c r="C495" s="23" t="n">
        <f aca="false">YEAR(B495)</f>
        <v>2026</v>
      </c>
      <c r="D495" s="23" t="n">
        <f aca="false">MONTH(B495)</f>
        <v>5</v>
      </c>
      <c r="E495" s="21" t="s">
        <v>43</v>
      </c>
      <c r="F495" s="21" t="s">
        <v>44</v>
      </c>
      <c r="G495" s="21" t="s">
        <v>45</v>
      </c>
      <c r="H495" s="24" t="n">
        <v>7</v>
      </c>
      <c r="I495" s="24" t="n">
        <v>4600</v>
      </c>
      <c r="J495" s="24" t="n">
        <v>2800</v>
      </c>
      <c r="K495" s="25" t="n">
        <f aca="false">H495*I495</f>
        <v>32200</v>
      </c>
      <c r="L495" s="25" t="n">
        <f aca="false">H495*(I495-J495)</f>
        <v>12600</v>
      </c>
    </row>
    <row r="496" customFormat="false" ht="15" hidden="false" customHeight="false" outlineLevel="0" collapsed="false">
      <c r="A496" s="21" t="s">
        <v>562</v>
      </c>
      <c r="B496" s="22" t="n">
        <v>46159</v>
      </c>
      <c r="C496" s="23" t="n">
        <f aca="false">YEAR(B496)</f>
        <v>2026</v>
      </c>
      <c r="D496" s="23" t="n">
        <f aca="false">MONTH(B496)</f>
        <v>5</v>
      </c>
      <c r="E496" s="21" t="s">
        <v>56</v>
      </c>
      <c r="F496" s="21" t="s">
        <v>57</v>
      </c>
      <c r="G496" s="21" t="s">
        <v>74</v>
      </c>
      <c r="H496" s="24" t="n">
        <v>72</v>
      </c>
      <c r="I496" s="24" t="n">
        <v>337</v>
      </c>
      <c r="J496" s="24" t="n">
        <v>170</v>
      </c>
      <c r="K496" s="25" t="n">
        <f aca="false">H496*I496</f>
        <v>24264</v>
      </c>
      <c r="L496" s="25" t="n">
        <f aca="false">H496*(I496-J496)</f>
        <v>12024</v>
      </c>
    </row>
    <row r="497" customFormat="false" ht="15" hidden="false" customHeight="false" outlineLevel="0" collapsed="false">
      <c r="A497" s="21" t="s">
        <v>563</v>
      </c>
      <c r="B497" s="22" t="n">
        <v>46159</v>
      </c>
      <c r="C497" s="23" t="n">
        <f aca="false">YEAR(B497)</f>
        <v>2026</v>
      </c>
      <c r="D497" s="23" t="n">
        <f aca="false">MONTH(B497)</f>
        <v>5</v>
      </c>
      <c r="E497" s="21" t="s">
        <v>76</v>
      </c>
      <c r="F497" s="21" t="s">
        <v>57</v>
      </c>
      <c r="G497" s="21" t="s">
        <v>58</v>
      </c>
      <c r="H497" s="24" t="n">
        <v>17</v>
      </c>
      <c r="I497" s="24" t="n">
        <v>1760</v>
      </c>
      <c r="J497" s="24" t="n">
        <v>1250</v>
      </c>
      <c r="K497" s="25" t="n">
        <f aca="false">H497*I497</f>
        <v>29920</v>
      </c>
      <c r="L497" s="25" t="n">
        <f aca="false">H497*(I497-J497)</f>
        <v>8670</v>
      </c>
    </row>
    <row r="498" customFormat="false" ht="15" hidden="false" customHeight="false" outlineLevel="0" collapsed="false">
      <c r="A498" s="21" t="s">
        <v>564</v>
      </c>
      <c r="B498" s="22" t="n">
        <v>46160</v>
      </c>
      <c r="C498" s="23" t="n">
        <f aca="false">YEAR(B498)</f>
        <v>2026</v>
      </c>
      <c r="D498" s="23" t="n">
        <f aca="false">MONTH(B498)</f>
        <v>5</v>
      </c>
      <c r="E498" s="21" t="s">
        <v>61</v>
      </c>
      <c r="F498" s="21" t="s">
        <v>57</v>
      </c>
      <c r="G498" s="21" t="s">
        <v>58</v>
      </c>
      <c r="H498" s="24" t="n">
        <v>7</v>
      </c>
      <c r="I498" s="24" t="n">
        <v>1750</v>
      </c>
      <c r="J498" s="24" t="n">
        <v>1250</v>
      </c>
      <c r="K498" s="25" t="n">
        <f aca="false">H498*I498</f>
        <v>12250</v>
      </c>
      <c r="L498" s="25" t="n">
        <f aca="false">H498*(I498-J498)</f>
        <v>3500</v>
      </c>
    </row>
    <row r="499" customFormat="false" ht="15" hidden="false" customHeight="false" outlineLevel="0" collapsed="false">
      <c r="A499" s="21" t="s">
        <v>565</v>
      </c>
      <c r="B499" s="22" t="n">
        <v>46160</v>
      </c>
      <c r="C499" s="23" t="n">
        <f aca="false">YEAR(B499)</f>
        <v>2026</v>
      </c>
      <c r="D499" s="23" t="n">
        <f aca="false">MONTH(B499)</f>
        <v>5</v>
      </c>
      <c r="E499" s="21" t="s">
        <v>56</v>
      </c>
      <c r="F499" s="21" t="s">
        <v>57</v>
      </c>
      <c r="G499" s="21" t="s">
        <v>74</v>
      </c>
      <c r="H499" s="24" t="n">
        <v>57</v>
      </c>
      <c r="I499" s="24" t="n">
        <v>348</v>
      </c>
      <c r="J499" s="24" t="n">
        <v>170</v>
      </c>
      <c r="K499" s="25" t="n">
        <f aca="false">H499*I499</f>
        <v>19836</v>
      </c>
      <c r="L499" s="25" t="n">
        <f aca="false">H499*(I499-J499)</f>
        <v>10146</v>
      </c>
    </row>
    <row r="500" customFormat="false" ht="15" hidden="false" customHeight="false" outlineLevel="0" collapsed="false">
      <c r="A500" s="21" t="s">
        <v>566</v>
      </c>
      <c r="B500" s="22" t="n">
        <v>46162</v>
      </c>
      <c r="C500" s="23" t="n">
        <f aca="false">YEAR(B500)</f>
        <v>2026</v>
      </c>
      <c r="D500" s="23" t="n">
        <f aca="false">MONTH(B500)</f>
        <v>5</v>
      </c>
      <c r="E500" s="21" t="s">
        <v>76</v>
      </c>
      <c r="F500" s="21" t="s">
        <v>57</v>
      </c>
      <c r="G500" s="21" t="s">
        <v>78</v>
      </c>
      <c r="H500" s="24" t="n">
        <v>59</v>
      </c>
      <c r="I500" s="24" t="n">
        <v>673</v>
      </c>
      <c r="J500" s="24" t="n">
        <v>320</v>
      </c>
      <c r="K500" s="25" t="n">
        <f aca="false">H500*I500</f>
        <v>39707</v>
      </c>
      <c r="L500" s="25" t="n">
        <f aca="false">H500*(I500-J500)</f>
        <v>20827</v>
      </c>
    </row>
    <row r="501" customFormat="false" ht="15" hidden="false" customHeight="false" outlineLevel="0" collapsed="false">
      <c r="A501" s="21" t="s">
        <v>567</v>
      </c>
      <c r="B501" s="22" t="n">
        <v>46162</v>
      </c>
      <c r="C501" s="23" t="n">
        <f aca="false">YEAR(B501)</f>
        <v>2026</v>
      </c>
      <c r="D501" s="23" t="n">
        <f aca="false">MONTH(B501)</f>
        <v>5</v>
      </c>
      <c r="E501" s="21" t="s">
        <v>61</v>
      </c>
      <c r="F501" s="21" t="s">
        <v>44</v>
      </c>
      <c r="G501" s="21" t="s">
        <v>45</v>
      </c>
      <c r="H501" s="24" t="n">
        <v>12</v>
      </c>
      <c r="I501" s="24" t="n">
        <v>4510</v>
      </c>
      <c r="J501" s="24" t="n">
        <v>2800</v>
      </c>
      <c r="K501" s="25" t="n">
        <f aca="false">H501*I501</f>
        <v>54120</v>
      </c>
      <c r="L501" s="25" t="n">
        <f aca="false">H501*(I501-J501)</f>
        <v>20520</v>
      </c>
    </row>
    <row r="502" customFormat="false" ht="15" hidden="false" customHeight="false" outlineLevel="0" collapsed="false">
      <c r="A502" s="21" t="s">
        <v>568</v>
      </c>
      <c r="B502" s="22" t="n">
        <v>46162</v>
      </c>
      <c r="C502" s="23" t="n">
        <f aca="false">YEAR(B502)</f>
        <v>2026</v>
      </c>
      <c r="D502" s="23" t="n">
        <f aca="false">MONTH(B502)</f>
        <v>5</v>
      </c>
      <c r="E502" s="21" t="s">
        <v>43</v>
      </c>
      <c r="F502" s="21" t="s">
        <v>62</v>
      </c>
      <c r="G502" s="21" t="s">
        <v>92</v>
      </c>
      <c r="H502" s="24" t="n">
        <v>5</v>
      </c>
      <c r="I502" s="24" t="n">
        <v>13630</v>
      </c>
      <c r="J502" s="24" t="n">
        <v>9000</v>
      </c>
      <c r="K502" s="25" t="n">
        <f aca="false">H502*I502</f>
        <v>68150</v>
      </c>
      <c r="L502" s="25" t="n">
        <f aca="false">H502*(I502-J502)</f>
        <v>23150</v>
      </c>
    </row>
    <row r="503" customFormat="false" ht="15" hidden="false" customHeight="false" outlineLevel="0" collapsed="false">
      <c r="A503" s="21" t="s">
        <v>569</v>
      </c>
      <c r="B503" s="22" t="n">
        <v>46163</v>
      </c>
      <c r="C503" s="23" t="n">
        <f aca="false">YEAR(B503)</f>
        <v>2026</v>
      </c>
      <c r="D503" s="23" t="n">
        <f aca="false">MONTH(B503)</f>
        <v>5</v>
      </c>
      <c r="E503" s="21" t="s">
        <v>56</v>
      </c>
      <c r="F503" s="21" t="s">
        <v>65</v>
      </c>
      <c r="G503" s="21" t="s">
        <v>66</v>
      </c>
      <c r="H503" s="24" t="n">
        <v>17</v>
      </c>
      <c r="I503" s="24" t="n">
        <v>4610</v>
      </c>
      <c r="J503" s="24" t="n">
        <v>1900</v>
      </c>
      <c r="K503" s="25" t="n">
        <f aca="false">H503*I503</f>
        <v>78370</v>
      </c>
      <c r="L503" s="25" t="n">
        <f aca="false">H503*(I503-J503)</f>
        <v>46070</v>
      </c>
    </row>
    <row r="504" customFormat="false" ht="15" hidden="false" customHeight="false" outlineLevel="0" collapsed="false">
      <c r="A504" s="21" t="s">
        <v>570</v>
      </c>
      <c r="B504" s="22" t="n">
        <v>46164</v>
      </c>
      <c r="C504" s="23" t="n">
        <f aca="false">YEAR(B504)</f>
        <v>2026</v>
      </c>
      <c r="D504" s="23" t="n">
        <f aca="false">MONTH(B504)</f>
        <v>5</v>
      </c>
      <c r="E504" s="21" t="s">
        <v>48</v>
      </c>
      <c r="F504" s="21" t="s">
        <v>65</v>
      </c>
      <c r="G504" s="21" t="s">
        <v>81</v>
      </c>
      <c r="H504" s="24" t="n">
        <v>19</v>
      </c>
      <c r="I504" s="24" t="n">
        <v>8970</v>
      </c>
      <c r="J504" s="24" t="n">
        <v>2500</v>
      </c>
      <c r="K504" s="25" t="n">
        <f aca="false">H504*I504</f>
        <v>170430</v>
      </c>
      <c r="L504" s="25" t="n">
        <f aca="false">H504*(I504-J504)</f>
        <v>122930</v>
      </c>
    </row>
    <row r="505" customFormat="false" ht="15" hidden="false" customHeight="false" outlineLevel="0" collapsed="false">
      <c r="A505" s="21" t="s">
        <v>571</v>
      </c>
      <c r="B505" s="22" t="n">
        <v>46165</v>
      </c>
      <c r="C505" s="23" t="n">
        <f aca="false">YEAR(B505)</f>
        <v>2026</v>
      </c>
      <c r="D505" s="23" t="n">
        <f aca="false">MONTH(B505)</f>
        <v>5</v>
      </c>
      <c r="E505" s="21" t="s">
        <v>56</v>
      </c>
      <c r="F505" s="21" t="s">
        <v>65</v>
      </c>
      <c r="G505" s="21" t="s">
        <v>81</v>
      </c>
      <c r="H505" s="24" t="n">
        <v>2</v>
      </c>
      <c r="I505" s="24" t="n">
        <v>8880</v>
      </c>
      <c r="J505" s="24" t="n">
        <v>2500</v>
      </c>
      <c r="K505" s="25" t="n">
        <f aca="false">H505*I505</f>
        <v>17760</v>
      </c>
      <c r="L505" s="25" t="n">
        <f aca="false">H505*(I505-J505)</f>
        <v>12760</v>
      </c>
    </row>
    <row r="506" customFormat="false" ht="15" hidden="false" customHeight="false" outlineLevel="0" collapsed="false">
      <c r="A506" s="21" t="s">
        <v>572</v>
      </c>
      <c r="B506" s="22" t="n">
        <v>46166</v>
      </c>
      <c r="C506" s="23" t="n">
        <f aca="false">YEAR(B506)</f>
        <v>2026</v>
      </c>
      <c r="D506" s="23" t="n">
        <f aca="false">MONTH(B506)</f>
        <v>5</v>
      </c>
      <c r="E506" s="21" t="s">
        <v>56</v>
      </c>
      <c r="F506" s="21" t="s">
        <v>57</v>
      </c>
      <c r="G506" s="21" t="s">
        <v>58</v>
      </c>
      <c r="H506" s="24" t="n">
        <v>5</v>
      </c>
      <c r="I506" s="24" t="n">
        <v>1700</v>
      </c>
      <c r="J506" s="24" t="n">
        <v>1250</v>
      </c>
      <c r="K506" s="25" t="n">
        <f aca="false">H506*I506</f>
        <v>8500</v>
      </c>
      <c r="L506" s="25" t="n">
        <f aca="false">H506*(I506-J506)</f>
        <v>2250</v>
      </c>
    </row>
    <row r="507" customFormat="false" ht="15" hidden="false" customHeight="false" outlineLevel="0" collapsed="false">
      <c r="A507" s="21" t="s">
        <v>573</v>
      </c>
      <c r="B507" s="22" t="n">
        <v>46168</v>
      </c>
      <c r="C507" s="23" t="n">
        <f aca="false">YEAR(B507)</f>
        <v>2026</v>
      </c>
      <c r="D507" s="23" t="n">
        <f aca="false">MONTH(B507)</f>
        <v>5</v>
      </c>
      <c r="E507" s="21" t="s">
        <v>48</v>
      </c>
      <c r="F507" s="21" t="s">
        <v>65</v>
      </c>
      <c r="G507" s="21" t="s">
        <v>89</v>
      </c>
      <c r="H507" s="24" t="n">
        <v>2</v>
      </c>
      <c r="I507" s="24" t="n">
        <v>1870</v>
      </c>
      <c r="J507" s="24" t="n">
        <v>500</v>
      </c>
      <c r="K507" s="25" t="n">
        <f aca="false">H507*I507</f>
        <v>3740</v>
      </c>
      <c r="L507" s="25" t="n">
        <f aca="false">H507*(I507-J507)</f>
        <v>2740</v>
      </c>
    </row>
    <row r="508" customFormat="false" ht="15" hidden="false" customHeight="false" outlineLevel="0" collapsed="false">
      <c r="A508" s="21" t="s">
        <v>574</v>
      </c>
      <c r="B508" s="22" t="n">
        <v>46169</v>
      </c>
      <c r="C508" s="23" t="n">
        <f aca="false">YEAR(B508)</f>
        <v>2026</v>
      </c>
      <c r="D508" s="23" t="n">
        <f aca="false">MONTH(B508)</f>
        <v>5</v>
      </c>
      <c r="E508" s="21" t="s">
        <v>61</v>
      </c>
      <c r="F508" s="21" t="s">
        <v>62</v>
      </c>
      <c r="G508" s="21" t="s">
        <v>63</v>
      </c>
      <c r="H508" s="24" t="n">
        <v>2</v>
      </c>
      <c r="I508" s="24" t="n">
        <v>28760</v>
      </c>
      <c r="J508" s="24" t="n">
        <v>19500</v>
      </c>
      <c r="K508" s="25" t="n">
        <f aca="false">H508*I508</f>
        <v>57520</v>
      </c>
      <c r="L508" s="25" t="n">
        <f aca="false">H508*(I508-J508)</f>
        <v>18520</v>
      </c>
    </row>
    <row r="509" customFormat="false" ht="15" hidden="false" customHeight="false" outlineLevel="0" collapsed="false">
      <c r="A509" s="21" t="s">
        <v>575</v>
      </c>
      <c r="B509" s="22" t="n">
        <v>46170</v>
      </c>
      <c r="C509" s="23" t="n">
        <f aca="false">YEAR(B509)</f>
        <v>2026</v>
      </c>
      <c r="D509" s="23" t="n">
        <f aca="false">MONTH(B509)</f>
        <v>5</v>
      </c>
      <c r="E509" s="21" t="s">
        <v>56</v>
      </c>
      <c r="F509" s="21" t="s">
        <v>62</v>
      </c>
      <c r="G509" s="21" t="s">
        <v>92</v>
      </c>
      <c r="H509" s="24" t="n">
        <v>3</v>
      </c>
      <c r="I509" s="24" t="n">
        <v>13160</v>
      </c>
      <c r="J509" s="24" t="n">
        <v>9000</v>
      </c>
      <c r="K509" s="25" t="n">
        <f aca="false">H509*I509</f>
        <v>39480</v>
      </c>
      <c r="L509" s="25" t="n">
        <f aca="false">H509*(I509-J509)</f>
        <v>12480</v>
      </c>
    </row>
    <row r="510" customFormat="false" ht="15" hidden="false" customHeight="false" outlineLevel="0" collapsed="false">
      <c r="A510" s="21" t="s">
        <v>576</v>
      </c>
      <c r="B510" s="22" t="n">
        <v>46171</v>
      </c>
      <c r="C510" s="23" t="n">
        <f aca="false">YEAR(B510)</f>
        <v>2026</v>
      </c>
      <c r="D510" s="23" t="n">
        <f aca="false">MONTH(B510)</f>
        <v>5</v>
      </c>
      <c r="E510" s="21" t="s">
        <v>43</v>
      </c>
      <c r="F510" s="21" t="s">
        <v>62</v>
      </c>
      <c r="G510" s="21" t="s">
        <v>92</v>
      </c>
      <c r="H510" s="24" t="n">
        <v>6</v>
      </c>
      <c r="I510" s="24" t="n">
        <v>14410</v>
      </c>
      <c r="J510" s="24" t="n">
        <v>9000</v>
      </c>
      <c r="K510" s="25" t="n">
        <f aca="false">H510*I510</f>
        <v>86460</v>
      </c>
      <c r="L510" s="25" t="n">
        <f aca="false">H510*(I510-J510)</f>
        <v>32460</v>
      </c>
    </row>
    <row r="511" customFormat="false" ht="15" hidden="false" customHeight="false" outlineLevel="0" collapsed="false">
      <c r="A511" s="21" t="s">
        <v>577</v>
      </c>
      <c r="B511" s="22" t="n">
        <v>46172</v>
      </c>
      <c r="C511" s="23" t="n">
        <f aca="false">YEAR(B511)</f>
        <v>2026</v>
      </c>
      <c r="D511" s="23" t="n">
        <f aca="false">MONTH(B511)</f>
        <v>5</v>
      </c>
      <c r="E511" s="21" t="s">
        <v>48</v>
      </c>
      <c r="F511" s="21" t="s">
        <v>44</v>
      </c>
      <c r="G511" s="21" t="s">
        <v>45</v>
      </c>
      <c r="H511" s="24" t="n">
        <v>6</v>
      </c>
      <c r="I511" s="24" t="n">
        <v>4540</v>
      </c>
      <c r="J511" s="24" t="n">
        <v>2800</v>
      </c>
      <c r="K511" s="25" t="n">
        <f aca="false">H511*I511</f>
        <v>27240</v>
      </c>
      <c r="L511" s="25" t="n">
        <f aca="false">H511*(I511-J511)</f>
        <v>10440</v>
      </c>
    </row>
    <row r="512" customFormat="false" ht="15" hidden="false" customHeight="false" outlineLevel="0" collapsed="false">
      <c r="A512" s="21" t="s">
        <v>578</v>
      </c>
      <c r="B512" s="22" t="n">
        <v>46173</v>
      </c>
      <c r="C512" s="23" t="n">
        <f aca="false">YEAR(B512)</f>
        <v>2026</v>
      </c>
      <c r="D512" s="23" t="n">
        <f aca="false">MONTH(B512)</f>
        <v>5</v>
      </c>
      <c r="E512" s="21" t="s">
        <v>48</v>
      </c>
      <c r="F512" s="21" t="s">
        <v>57</v>
      </c>
      <c r="G512" s="21" t="s">
        <v>74</v>
      </c>
      <c r="H512" s="24" t="n">
        <v>21</v>
      </c>
      <c r="I512" s="24" t="n">
        <v>357</v>
      </c>
      <c r="J512" s="24" t="n">
        <v>170</v>
      </c>
      <c r="K512" s="25" t="n">
        <f aca="false">H512*I512</f>
        <v>7497</v>
      </c>
      <c r="L512" s="25" t="n">
        <f aca="false">H512*(I512-J512)</f>
        <v>3927</v>
      </c>
    </row>
    <row r="513" customFormat="false" ht="15" hidden="false" customHeight="false" outlineLevel="0" collapsed="false">
      <c r="A513" s="21" t="s">
        <v>579</v>
      </c>
      <c r="B513" s="22" t="n">
        <v>46173</v>
      </c>
      <c r="C513" s="23" t="n">
        <f aca="false">YEAR(B513)</f>
        <v>2026</v>
      </c>
      <c r="D513" s="23" t="n">
        <f aca="false">MONTH(B513)</f>
        <v>5</v>
      </c>
      <c r="E513" s="21" t="s">
        <v>48</v>
      </c>
      <c r="F513" s="21" t="s">
        <v>44</v>
      </c>
      <c r="G513" s="21" t="s">
        <v>49</v>
      </c>
      <c r="H513" s="24" t="n">
        <v>1</v>
      </c>
      <c r="I513" s="24" t="n">
        <v>61710</v>
      </c>
      <c r="J513" s="24" t="n">
        <v>48000</v>
      </c>
      <c r="K513" s="25" t="n">
        <f aca="false">H513*I513</f>
        <v>61710</v>
      </c>
      <c r="L513" s="25" t="n">
        <f aca="false">H513*(I513-J513)</f>
        <v>13710</v>
      </c>
    </row>
    <row r="514" customFormat="false" ht="15" hidden="false" customHeight="false" outlineLevel="0" collapsed="false">
      <c r="A514" s="21" t="s">
        <v>580</v>
      </c>
      <c r="B514" s="22" t="n">
        <v>46175</v>
      </c>
      <c r="C514" s="23" t="n">
        <f aca="false">YEAR(B514)</f>
        <v>2026</v>
      </c>
      <c r="D514" s="23" t="n">
        <f aca="false">MONTH(B514)</f>
        <v>6</v>
      </c>
      <c r="E514" s="21" t="s">
        <v>48</v>
      </c>
      <c r="F514" s="21" t="s">
        <v>57</v>
      </c>
      <c r="G514" s="21" t="s">
        <v>78</v>
      </c>
      <c r="H514" s="24" t="n">
        <v>10</v>
      </c>
      <c r="I514" s="24" t="n">
        <v>663</v>
      </c>
      <c r="J514" s="24" t="n">
        <v>320</v>
      </c>
      <c r="K514" s="25" t="n">
        <f aca="false">H514*I514</f>
        <v>6630</v>
      </c>
      <c r="L514" s="25" t="n">
        <f aca="false">H514*(I514-J514)</f>
        <v>3430</v>
      </c>
    </row>
    <row r="515" customFormat="false" ht="15" hidden="false" customHeight="false" outlineLevel="0" collapsed="false">
      <c r="A515" s="21" t="s">
        <v>581</v>
      </c>
      <c r="B515" s="22" t="n">
        <v>46177</v>
      </c>
      <c r="C515" s="23" t="n">
        <f aca="false">YEAR(B515)</f>
        <v>2026</v>
      </c>
      <c r="D515" s="23" t="n">
        <f aca="false">MONTH(B515)</f>
        <v>6</v>
      </c>
      <c r="E515" s="21" t="s">
        <v>61</v>
      </c>
      <c r="F515" s="21" t="s">
        <v>65</v>
      </c>
      <c r="G515" s="21" t="s">
        <v>81</v>
      </c>
      <c r="H515" s="24" t="n">
        <v>14</v>
      </c>
      <c r="I515" s="24" t="n">
        <v>9560</v>
      </c>
      <c r="J515" s="24" t="n">
        <v>2500</v>
      </c>
      <c r="K515" s="25" t="n">
        <f aca="false">H515*I515</f>
        <v>133840</v>
      </c>
      <c r="L515" s="25" t="n">
        <f aca="false">H515*(I515-J515)</f>
        <v>98840</v>
      </c>
    </row>
    <row r="516" customFormat="false" ht="15" hidden="false" customHeight="false" outlineLevel="0" collapsed="false">
      <c r="A516" s="21" t="s">
        <v>582</v>
      </c>
      <c r="B516" s="22" t="n">
        <v>46178</v>
      </c>
      <c r="C516" s="23" t="n">
        <f aca="false">YEAR(B516)</f>
        <v>2026</v>
      </c>
      <c r="D516" s="23" t="n">
        <f aca="false">MONTH(B516)</f>
        <v>6</v>
      </c>
      <c r="E516" s="21" t="s">
        <v>43</v>
      </c>
      <c r="F516" s="21" t="s">
        <v>62</v>
      </c>
      <c r="G516" s="21" t="s">
        <v>72</v>
      </c>
      <c r="H516" s="24" t="n">
        <v>1</v>
      </c>
      <c r="I516" s="24" t="n">
        <v>7580</v>
      </c>
      <c r="J516" s="24" t="n">
        <v>4800</v>
      </c>
      <c r="K516" s="25" t="n">
        <f aca="false">H516*I516</f>
        <v>7580</v>
      </c>
      <c r="L516" s="25" t="n">
        <f aca="false">H516*(I516-J516)</f>
        <v>2780</v>
      </c>
    </row>
    <row r="517" customFormat="false" ht="15" hidden="false" customHeight="false" outlineLevel="0" collapsed="false">
      <c r="A517" s="21" t="s">
        <v>583</v>
      </c>
      <c r="B517" s="22" t="n">
        <v>46180</v>
      </c>
      <c r="C517" s="23" t="n">
        <f aca="false">YEAR(B517)</f>
        <v>2026</v>
      </c>
      <c r="D517" s="23" t="n">
        <f aca="false">MONTH(B517)</f>
        <v>6</v>
      </c>
      <c r="E517" s="21" t="s">
        <v>48</v>
      </c>
      <c r="F517" s="21" t="s">
        <v>44</v>
      </c>
      <c r="G517" s="21" t="s">
        <v>45</v>
      </c>
      <c r="H517" s="24" t="n">
        <v>6</v>
      </c>
      <c r="I517" s="24" t="n">
        <v>4250</v>
      </c>
      <c r="J517" s="24" t="n">
        <v>2800</v>
      </c>
      <c r="K517" s="25" t="n">
        <f aca="false">H517*I517</f>
        <v>25500</v>
      </c>
      <c r="L517" s="25" t="n">
        <f aca="false">H517*(I517-J517)</f>
        <v>8700</v>
      </c>
    </row>
    <row r="518" customFormat="false" ht="15" hidden="false" customHeight="false" outlineLevel="0" collapsed="false">
      <c r="A518" s="21" t="s">
        <v>584</v>
      </c>
      <c r="B518" s="22" t="n">
        <v>46180</v>
      </c>
      <c r="C518" s="23" t="n">
        <f aca="false">YEAR(B518)</f>
        <v>2026</v>
      </c>
      <c r="D518" s="23" t="n">
        <f aca="false">MONTH(B518)</f>
        <v>6</v>
      </c>
      <c r="E518" s="21" t="s">
        <v>56</v>
      </c>
      <c r="F518" s="21" t="s">
        <v>57</v>
      </c>
      <c r="G518" s="21" t="s">
        <v>74</v>
      </c>
      <c r="H518" s="24" t="n">
        <v>27</v>
      </c>
      <c r="I518" s="24" t="n">
        <v>355</v>
      </c>
      <c r="J518" s="24" t="n">
        <v>170</v>
      </c>
      <c r="K518" s="25" t="n">
        <f aca="false">H518*I518</f>
        <v>9585</v>
      </c>
      <c r="L518" s="25" t="n">
        <f aca="false">H518*(I518-J518)</f>
        <v>4995</v>
      </c>
    </row>
    <row r="519" customFormat="false" ht="15" hidden="false" customHeight="false" outlineLevel="0" collapsed="false">
      <c r="A519" s="21" t="s">
        <v>585</v>
      </c>
      <c r="B519" s="22" t="n">
        <v>46180</v>
      </c>
      <c r="C519" s="23" t="n">
        <f aca="false">YEAR(B519)</f>
        <v>2026</v>
      </c>
      <c r="D519" s="23" t="n">
        <f aca="false">MONTH(B519)</f>
        <v>6</v>
      </c>
      <c r="E519" s="21" t="s">
        <v>43</v>
      </c>
      <c r="F519" s="21" t="s">
        <v>57</v>
      </c>
      <c r="G519" s="21" t="s">
        <v>58</v>
      </c>
      <c r="H519" s="24" t="n">
        <v>23</v>
      </c>
      <c r="I519" s="24" t="n">
        <v>1680</v>
      </c>
      <c r="J519" s="24" t="n">
        <v>1250</v>
      </c>
      <c r="K519" s="25" t="n">
        <f aca="false">H519*I519</f>
        <v>38640</v>
      </c>
      <c r="L519" s="25" t="n">
        <f aca="false">H519*(I519-J519)</f>
        <v>9890</v>
      </c>
    </row>
    <row r="520" customFormat="false" ht="15" hidden="false" customHeight="false" outlineLevel="0" collapsed="false">
      <c r="A520" s="21" t="s">
        <v>586</v>
      </c>
      <c r="B520" s="22" t="n">
        <v>46181</v>
      </c>
      <c r="C520" s="23" t="n">
        <f aca="false">YEAR(B520)</f>
        <v>2026</v>
      </c>
      <c r="D520" s="23" t="n">
        <f aca="false">MONTH(B520)</f>
        <v>6</v>
      </c>
      <c r="E520" s="21" t="s">
        <v>48</v>
      </c>
      <c r="F520" s="21" t="s">
        <v>57</v>
      </c>
      <c r="G520" s="21" t="s">
        <v>58</v>
      </c>
      <c r="H520" s="24" t="n">
        <v>28</v>
      </c>
      <c r="I520" s="24" t="n">
        <v>1720</v>
      </c>
      <c r="J520" s="24" t="n">
        <v>1250</v>
      </c>
      <c r="K520" s="25" t="n">
        <f aca="false">H520*I520</f>
        <v>48160</v>
      </c>
      <c r="L520" s="25" t="n">
        <f aca="false">H520*(I520-J520)</f>
        <v>13160</v>
      </c>
    </row>
    <row r="521" customFormat="false" ht="15" hidden="false" customHeight="false" outlineLevel="0" collapsed="false">
      <c r="A521" s="21" t="s">
        <v>587</v>
      </c>
      <c r="B521" s="22" t="n">
        <v>46183</v>
      </c>
      <c r="C521" s="23" t="n">
        <f aca="false">YEAR(B521)</f>
        <v>2026</v>
      </c>
      <c r="D521" s="23" t="n">
        <f aca="false">MONTH(B521)</f>
        <v>6</v>
      </c>
      <c r="E521" s="21" t="s">
        <v>61</v>
      </c>
      <c r="F521" s="21" t="s">
        <v>57</v>
      </c>
      <c r="G521" s="21" t="s">
        <v>74</v>
      </c>
      <c r="H521" s="24" t="n">
        <v>66</v>
      </c>
      <c r="I521" s="24" t="n">
        <v>363</v>
      </c>
      <c r="J521" s="24" t="n">
        <v>170</v>
      </c>
      <c r="K521" s="25" t="n">
        <f aca="false">H521*I521</f>
        <v>23958</v>
      </c>
      <c r="L521" s="25" t="n">
        <f aca="false">H521*(I521-J521)</f>
        <v>12738</v>
      </c>
    </row>
    <row r="522" customFormat="false" ht="15" hidden="false" customHeight="false" outlineLevel="0" collapsed="false">
      <c r="A522" s="21" t="s">
        <v>588</v>
      </c>
      <c r="B522" s="22" t="n">
        <v>46184</v>
      </c>
      <c r="C522" s="23" t="n">
        <f aca="false">YEAR(B522)</f>
        <v>2026</v>
      </c>
      <c r="D522" s="23" t="n">
        <f aca="false">MONTH(B522)</f>
        <v>6</v>
      </c>
      <c r="E522" s="21" t="s">
        <v>43</v>
      </c>
      <c r="F522" s="21" t="s">
        <v>44</v>
      </c>
      <c r="G522" s="21" t="s">
        <v>45</v>
      </c>
      <c r="H522" s="24" t="n">
        <v>3</v>
      </c>
      <c r="I522" s="24" t="n">
        <v>4480</v>
      </c>
      <c r="J522" s="24" t="n">
        <v>2800</v>
      </c>
      <c r="K522" s="25" t="n">
        <f aca="false">H522*I522</f>
        <v>13440</v>
      </c>
      <c r="L522" s="25" t="n">
        <f aca="false">H522*(I522-J522)</f>
        <v>5040</v>
      </c>
    </row>
    <row r="523" customFormat="false" ht="15" hidden="false" customHeight="false" outlineLevel="0" collapsed="false">
      <c r="A523" s="21" t="s">
        <v>589</v>
      </c>
      <c r="B523" s="22" t="n">
        <v>46186</v>
      </c>
      <c r="C523" s="23" t="n">
        <f aca="false">YEAR(B523)</f>
        <v>2026</v>
      </c>
      <c r="D523" s="23" t="n">
        <f aca="false">MONTH(B523)</f>
        <v>6</v>
      </c>
      <c r="E523" s="21" t="s">
        <v>61</v>
      </c>
      <c r="F523" s="21" t="s">
        <v>62</v>
      </c>
      <c r="G523" s="21" t="s">
        <v>63</v>
      </c>
      <c r="H523" s="24" t="n">
        <v>3</v>
      </c>
      <c r="I523" s="24" t="n">
        <v>28480</v>
      </c>
      <c r="J523" s="24" t="n">
        <v>19500</v>
      </c>
      <c r="K523" s="25" t="n">
        <f aca="false">H523*I523</f>
        <v>85440</v>
      </c>
      <c r="L523" s="25" t="n">
        <f aca="false">H523*(I523-J523)</f>
        <v>26940</v>
      </c>
    </row>
    <row r="524" customFormat="false" ht="15" hidden="false" customHeight="false" outlineLevel="0" collapsed="false">
      <c r="A524" s="21" t="s">
        <v>590</v>
      </c>
      <c r="B524" s="22" t="n">
        <v>46187</v>
      </c>
      <c r="C524" s="23" t="n">
        <f aca="false">YEAR(B524)</f>
        <v>2026</v>
      </c>
      <c r="D524" s="23" t="n">
        <f aca="false">MONTH(B524)</f>
        <v>6</v>
      </c>
      <c r="E524" s="21" t="s">
        <v>56</v>
      </c>
      <c r="F524" s="21" t="s">
        <v>44</v>
      </c>
      <c r="G524" s="21" t="s">
        <v>69</v>
      </c>
      <c r="H524" s="24" t="n">
        <v>2</v>
      </c>
      <c r="I524" s="24" t="n">
        <v>20810</v>
      </c>
      <c r="J524" s="24" t="n">
        <v>15500</v>
      </c>
      <c r="K524" s="25" t="n">
        <f aca="false">H524*I524</f>
        <v>41620</v>
      </c>
      <c r="L524" s="25" t="n">
        <f aca="false">H524*(I524-J524)</f>
        <v>10620</v>
      </c>
    </row>
    <row r="525" customFormat="false" ht="15" hidden="false" customHeight="false" outlineLevel="0" collapsed="false">
      <c r="A525" s="21" t="s">
        <v>591</v>
      </c>
      <c r="B525" s="22" t="n">
        <v>46187</v>
      </c>
      <c r="C525" s="23" t="n">
        <f aca="false">YEAR(B525)</f>
        <v>2026</v>
      </c>
      <c r="D525" s="23" t="n">
        <f aca="false">MONTH(B525)</f>
        <v>6</v>
      </c>
      <c r="E525" s="21" t="s">
        <v>76</v>
      </c>
      <c r="F525" s="21" t="s">
        <v>57</v>
      </c>
      <c r="G525" s="21" t="s">
        <v>58</v>
      </c>
      <c r="H525" s="24" t="n">
        <v>29</v>
      </c>
      <c r="I525" s="24" t="n">
        <v>1860</v>
      </c>
      <c r="J525" s="24" t="n">
        <v>1250</v>
      </c>
      <c r="K525" s="25" t="n">
        <f aca="false">H525*I525</f>
        <v>53940</v>
      </c>
      <c r="L525" s="25" t="n">
        <f aca="false">H525*(I525-J525)</f>
        <v>17690</v>
      </c>
    </row>
    <row r="526" customFormat="false" ht="15" hidden="false" customHeight="false" outlineLevel="0" collapsed="false">
      <c r="A526" s="21" t="s">
        <v>592</v>
      </c>
      <c r="B526" s="22" t="n">
        <v>46188</v>
      </c>
      <c r="C526" s="23" t="n">
        <f aca="false">YEAR(B526)</f>
        <v>2026</v>
      </c>
      <c r="D526" s="23" t="n">
        <f aca="false">MONTH(B526)</f>
        <v>6</v>
      </c>
      <c r="E526" s="21" t="s">
        <v>56</v>
      </c>
      <c r="F526" s="21" t="s">
        <v>44</v>
      </c>
      <c r="G526" s="21" t="s">
        <v>49</v>
      </c>
      <c r="H526" s="24" t="n">
        <v>2</v>
      </c>
      <c r="I526" s="24" t="n">
        <v>59060</v>
      </c>
      <c r="J526" s="24" t="n">
        <v>48000</v>
      </c>
      <c r="K526" s="25" t="n">
        <f aca="false">H526*I526</f>
        <v>118120</v>
      </c>
      <c r="L526" s="25" t="n">
        <f aca="false">H526*(I526-J526)</f>
        <v>22120</v>
      </c>
    </row>
    <row r="527" customFormat="false" ht="15" hidden="false" customHeight="false" outlineLevel="0" collapsed="false">
      <c r="A527" s="21" t="s">
        <v>593</v>
      </c>
      <c r="B527" s="22" t="n">
        <v>46188</v>
      </c>
      <c r="C527" s="23" t="n">
        <f aca="false">YEAR(B527)</f>
        <v>2026</v>
      </c>
      <c r="D527" s="23" t="n">
        <f aca="false">MONTH(B527)</f>
        <v>6</v>
      </c>
      <c r="E527" s="21" t="s">
        <v>43</v>
      </c>
      <c r="F527" s="21" t="s">
        <v>57</v>
      </c>
      <c r="G527" s="21" t="s">
        <v>58</v>
      </c>
      <c r="H527" s="24" t="n">
        <v>17</v>
      </c>
      <c r="I527" s="24" t="n">
        <v>1730</v>
      </c>
      <c r="J527" s="24" t="n">
        <v>1250</v>
      </c>
      <c r="K527" s="25" t="n">
        <f aca="false">H527*I527</f>
        <v>29410</v>
      </c>
      <c r="L527" s="25" t="n">
        <f aca="false">H527*(I527-J527)</f>
        <v>8160</v>
      </c>
    </row>
    <row r="528" customFormat="false" ht="15" hidden="false" customHeight="false" outlineLevel="0" collapsed="false">
      <c r="A528" s="21" t="s">
        <v>594</v>
      </c>
      <c r="B528" s="22" t="n">
        <v>46189</v>
      </c>
      <c r="C528" s="23" t="n">
        <f aca="false">YEAR(B528)</f>
        <v>2026</v>
      </c>
      <c r="D528" s="23" t="n">
        <f aca="false">MONTH(B528)</f>
        <v>6</v>
      </c>
      <c r="E528" s="21" t="s">
        <v>61</v>
      </c>
      <c r="F528" s="21" t="s">
        <v>44</v>
      </c>
      <c r="G528" s="21" t="s">
        <v>49</v>
      </c>
      <c r="H528" s="24" t="n">
        <v>1</v>
      </c>
      <c r="I528" s="24" t="n">
        <v>61040</v>
      </c>
      <c r="J528" s="24" t="n">
        <v>48000</v>
      </c>
      <c r="K528" s="25" t="n">
        <f aca="false">H528*I528</f>
        <v>61040</v>
      </c>
      <c r="L528" s="25" t="n">
        <f aca="false">H528*(I528-J528)</f>
        <v>13040</v>
      </c>
    </row>
    <row r="529" customFormat="false" ht="15" hidden="false" customHeight="false" outlineLevel="0" collapsed="false">
      <c r="A529" s="21" t="s">
        <v>595</v>
      </c>
      <c r="B529" s="22" t="n">
        <v>46189</v>
      </c>
      <c r="C529" s="23" t="n">
        <f aca="false">YEAR(B529)</f>
        <v>2026</v>
      </c>
      <c r="D529" s="23" t="n">
        <f aca="false">MONTH(B529)</f>
        <v>6</v>
      </c>
      <c r="E529" s="21" t="s">
        <v>48</v>
      </c>
      <c r="F529" s="21" t="s">
        <v>44</v>
      </c>
      <c r="G529" s="21" t="s">
        <v>45</v>
      </c>
      <c r="H529" s="24" t="n">
        <v>11</v>
      </c>
      <c r="I529" s="24" t="n">
        <v>4220</v>
      </c>
      <c r="J529" s="24" t="n">
        <v>2800</v>
      </c>
      <c r="K529" s="25" t="n">
        <f aca="false">H529*I529</f>
        <v>46420</v>
      </c>
      <c r="L529" s="25" t="n">
        <f aca="false">H529*(I529-J529)</f>
        <v>15620</v>
      </c>
    </row>
    <row r="530" customFormat="false" ht="15" hidden="false" customHeight="false" outlineLevel="0" collapsed="false">
      <c r="A530" s="21" t="s">
        <v>596</v>
      </c>
      <c r="B530" s="22" t="n">
        <v>46193</v>
      </c>
      <c r="C530" s="23" t="n">
        <f aca="false">YEAR(B530)</f>
        <v>2026</v>
      </c>
      <c r="D530" s="23" t="n">
        <f aca="false">MONTH(B530)</f>
        <v>6</v>
      </c>
      <c r="E530" s="21" t="s">
        <v>43</v>
      </c>
      <c r="F530" s="21" t="s">
        <v>65</v>
      </c>
      <c r="G530" s="21" t="s">
        <v>89</v>
      </c>
      <c r="H530" s="24" t="n">
        <v>13</v>
      </c>
      <c r="I530" s="24" t="n">
        <v>1860</v>
      </c>
      <c r="J530" s="24" t="n">
        <v>500</v>
      </c>
      <c r="K530" s="25" t="n">
        <f aca="false">H530*I530</f>
        <v>24180</v>
      </c>
      <c r="L530" s="25" t="n">
        <f aca="false">H530*(I530-J530)</f>
        <v>17680</v>
      </c>
    </row>
    <row r="531" customFormat="false" ht="15" hidden="false" customHeight="false" outlineLevel="0" collapsed="false">
      <c r="A531" s="21" t="s">
        <v>597</v>
      </c>
      <c r="B531" s="22" t="n">
        <v>46193</v>
      </c>
      <c r="C531" s="23" t="n">
        <f aca="false">YEAR(B531)</f>
        <v>2026</v>
      </c>
      <c r="D531" s="23" t="n">
        <f aca="false">MONTH(B531)</f>
        <v>6</v>
      </c>
      <c r="E531" s="21" t="s">
        <v>56</v>
      </c>
      <c r="F531" s="21" t="s">
        <v>44</v>
      </c>
      <c r="G531" s="21" t="s">
        <v>45</v>
      </c>
      <c r="H531" s="24" t="n">
        <v>11</v>
      </c>
      <c r="I531" s="24" t="n">
        <v>4390</v>
      </c>
      <c r="J531" s="24" t="n">
        <v>2800</v>
      </c>
      <c r="K531" s="25" t="n">
        <f aca="false">H531*I531</f>
        <v>48290</v>
      </c>
      <c r="L531" s="25" t="n">
        <f aca="false">H531*(I531-J531)</f>
        <v>17490</v>
      </c>
    </row>
    <row r="532" customFormat="false" ht="15" hidden="false" customHeight="false" outlineLevel="0" collapsed="false">
      <c r="A532" s="21" t="s">
        <v>598</v>
      </c>
      <c r="B532" s="22" t="n">
        <v>46194</v>
      </c>
      <c r="C532" s="23" t="n">
        <f aca="false">YEAR(B532)</f>
        <v>2026</v>
      </c>
      <c r="D532" s="23" t="n">
        <f aca="false">MONTH(B532)</f>
        <v>6</v>
      </c>
      <c r="E532" s="21" t="s">
        <v>43</v>
      </c>
      <c r="F532" s="21" t="s">
        <v>57</v>
      </c>
      <c r="G532" s="21" t="s">
        <v>78</v>
      </c>
      <c r="H532" s="24" t="n">
        <v>40</v>
      </c>
      <c r="I532" s="24" t="n">
        <v>680</v>
      </c>
      <c r="J532" s="24" t="n">
        <v>320</v>
      </c>
      <c r="K532" s="25" t="n">
        <f aca="false">H532*I532</f>
        <v>27200</v>
      </c>
      <c r="L532" s="25" t="n">
        <f aca="false">H532*(I532-J532)</f>
        <v>14400</v>
      </c>
    </row>
    <row r="533" customFormat="false" ht="15" hidden="false" customHeight="false" outlineLevel="0" collapsed="false">
      <c r="A533" s="21" t="s">
        <v>599</v>
      </c>
      <c r="B533" s="22" t="n">
        <v>46195</v>
      </c>
      <c r="C533" s="23" t="n">
        <f aca="false">YEAR(B533)</f>
        <v>2026</v>
      </c>
      <c r="D533" s="23" t="n">
        <f aca="false">MONTH(B533)</f>
        <v>6</v>
      </c>
      <c r="E533" s="21" t="s">
        <v>43</v>
      </c>
      <c r="F533" s="21" t="s">
        <v>57</v>
      </c>
      <c r="G533" s="21" t="s">
        <v>74</v>
      </c>
      <c r="H533" s="24" t="n">
        <v>18</v>
      </c>
      <c r="I533" s="24" t="n">
        <v>333</v>
      </c>
      <c r="J533" s="24" t="n">
        <v>170</v>
      </c>
      <c r="K533" s="25" t="n">
        <f aca="false">H533*I533</f>
        <v>5994</v>
      </c>
      <c r="L533" s="25" t="n">
        <f aca="false">H533*(I533-J533)</f>
        <v>2934</v>
      </c>
    </row>
    <row r="534" customFormat="false" ht="15" hidden="false" customHeight="false" outlineLevel="0" collapsed="false">
      <c r="A534" s="21" t="s">
        <v>600</v>
      </c>
      <c r="B534" s="22" t="n">
        <v>46197</v>
      </c>
      <c r="C534" s="23" t="n">
        <f aca="false">YEAR(B534)</f>
        <v>2026</v>
      </c>
      <c r="D534" s="23" t="n">
        <f aca="false">MONTH(B534)</f>
        <v>6</v>
      </c>
      <c r="E534" s="21" t="s">
        <v>61</v>
      </c>
      <c r="F534" s="21" t="s">
        <v>44</v>
      </c>
      <c r="G534" s="21" t="s">
        <v>45</v>
      </c>
      <c r="H534" s="24" t="n">
        <v>8</v>
      </c>
      <c r="I534" s="24" t="n">
        <v>4440</v>
      </c>
      <c r="J534" s="24" t="n">
        <v>2800</v>
      </c>
      <c r="K534" s="25" t="n">
        <f aca="false">H534*I534</f>
        <v>35520</v>
      </c>
      <c r="L534" s="25" t="n">
        <f aca="false">H534*(I534-J534)</f>
        <v>13120</v>
      </c>
    </row>
    <row r="535" customFormat="false" ht="15" hidden="false" customHeight="false" outlineLevel="0" collapsed="false">
      <c r="A535" s="21" t="s">
        <v>601</v>
      </c>
      <c r="B535" s="22" t="n">
        <v>46201</v>
      </c>
      <c r="C535" s="23" t="n">
        <f aca="false">YEAR(B535)</f>
        <v>2026</v>
      </c>
      <c r="D535" s="23" t="n">
        <f aca="false">MONTH(B535)</f>
        <v>6</v>
      </c>
      <c r="E535" s="21" t="s">
        <v>76</v>
      </c>
      <c r="F535" s="21" t="s">
        <v>57</v>
      </c>
      <c r="G535" s="21" t="s">
        <v>58</v>
      </c>
      <c r="H535" s="24" t="n">
        <v>18</v>
      </c>
      <c r="I535" s="24" t="n">
        <v>1760</v>
      </c>
      <c r="J535" s="24" t="n">
        <v>1250</v>
      </c>
      <c r="K535" s="25" t="n">
        <f aca="false">H535*I535</f>
        <v>31680</v>
      </c>
      <c r="L535" s="25" t="n">
        <f aca="false">H535*(I535-J535)</f>
        <v>9180</v>
      </c>
    </row>
    <row r="536" customFormat="false" ht="15" hidden="false" customHeight="false" outlineLevel="0" collapsed="false">
      <c r="A536" s="21" t="s">
        <v>602</v>
      </c>
      <c r="B536" s="22" t="n">
        <v>46201</v>
      </c>
      <c r="C536" s="23" t="n">
        <f aca="false">YEAR(B536)</f>
        <v>2026</v>
      </c>
      <c r="D536" s="23" t="n">
        <f aca="false">MONTH(B536)</f>
        <v>6</v>
      </c>
      <c r="E536" s="21" t="s">
        <v>56</v>
      </c>
      <c r="F536" s="21" t="s">
        <v>62</v>
      </c>
      <c r="G536" s="21" t="s">
        <v>63</v>
      </c>
      <c r="H536" s="24" t="n">
        <v>2</v>
      </c>
      <c r="I536" s="24" t="n">
        <v>26890</v>
      </c>
      <c r="J536" s="24" t="n">
        <v>19500</v>
      </c>
      <c r="K536" s="25" t="n">
        <f aca="false">H536*I536</f>
        <v>53780</v>
      </c>
      <c r="L536" s="25" t="n">
        <f aca="false">H536*(I536-J536)</f>
        <v>14780</v>
      </c>
    </row>
    <row r="537" customFormat="false" ht="15" hidden="false" customHeight="false" outlineLevel="0" collapsed="false">
      <c r="A537" s="21" t="s">
        <v>603</v>
      </c>
      <c r="B537" s="22" t="n">
        <v>46202</v>
      </c>
      <c r="C537" s="23" t="n">
        <f aca="false">YEAR(B537)</f>
        <v>2026</v>
      </c>
      <c r="D537" s="23" t="n">
        <f aca="false">MONTH(B537)</f>
        <v>6</v>
      </c>
      <c r="E537" s="21" t="s">
        <v>76</v>
      </c>
      <c r="F537" s="21" t="s">
        <v>62</v>
      </c>
      <c r="G537" s="21" t="s">
        <v>92</v>
      </c>
      <c r="H537" s="24" t="n">
        <v>2</v>
      </c>
      <c r="I537" s="24" t="n">
        <v>14520</v>
      </c>
      <c r="J537" s="24" t="n">
        <v>9000</v>
      </c>
      <c r="K537" s="25" t="n">
        <f aca="false">H537*I537</f>
        <v>29040</v>
      </c>
      <c r="L537" s="25" t="n">
        <f aca="false">H537*(I537-J537)</f>
        <v>11040</v>
      </c>
    </row>
    <row r="538" customFormat="false" ht="15" hidden="false" customHeight="false" outlineLevel="0" collapsed="false">
      <c r="A538" s="21" t="s">
        <v>604</v>
      </c>
      <c r="B538" s="22" t="n">
        <v>46202</v>
      </c>
      <c r="C538" s="23" t="n">
        <f aca="false">YEAR(B538)</f>
        <v>2026</v>
      </c>
      <c r="D538" s="23" t="n">
        <f aca="false">MONTH(B538)</f>
        <v>6</v>
      </c>
      <c r="E538" s="21" t="s">
        <v>48</v>
      </c>
      <c r="F538" s="21" t="s">
        <v>44</v>
      </c>
      <c r="G538" s="21" t="s">
        <v>45</v>
      </c>
      <c r="H538" s="24" t="n">
        <v>11</v>
      </c>
      <c r="I538" s="24" t="n">
        <v>4500</v>
      </c>
      <c r="J538" s="24" t="n">
        <v>2800</v>
      </c>
      <c r="K538" s="25" t="n">
        <f aca="false">H538*I538</f>
        <v>49500</v>
      </c>
      <c r="L538" s="25" t="n">
        <f aca="false">H538*(I538-J538)</f>
        <v>18700</v>
      </c>
    </row>
    <row r="539" customFormat="false" ht="15" hidden="false" customHeight="false" outlineLevel="0" collapsed="false">
      <c r="A539" s="21" t="s">
        <v>605</v>
      </c>
      <c r="B539" s="22" t="n">
        <v>46203</v>
      </c>
      <c r="C539" s="23" t="n">
        <f aca="false">YEAR(B539)</f>
        <v>2026</v>
      </c>
      <c r="D539" s="23" t="n">
        <f aca="false">MONTH(B539)</f>
        <v>6</v>
      </c>
      <c r="E539" s="21" t="s">
        <v>56</v>
      </c>
      <c r="F539" s="21" t="s">
        <v>65</v>
      </c>
      <c r="G539" s="21" t="s">
        <v>81</v>
      </c>
      <c r="H539" s="24" t="n">
        <v>3</v>
      </c>
      <c r="I539" s="24" t="n">
        <v>9160</v>
      </c>
      <c r="J539" s="24" t="n">
        <v>2500</v>
      </c>
      <c r="K539" s="25" t="n">
        <f aca="false">H539*I539</f>
        <v>27480</v>
      </c>
      <c r="L539" s="25" t="n">
        <f aca="false">H539*(I539-J539)</f>
        <v>19980</v>
      </c>
    </row>
    <row r="540" customFormat="false" ht="15" hidden="false" customHeight="false" outlineLevel="0" collapsed="false">
      <c r="A540" s="21" t="s">
        <v>606</v>
      </c>
      <c r="B540" s="22" t="n">
        <v>46203</v>
      </c>
      <c r="C540" s="23" t="n">
        <f aca="false">YEAR(B540)</f>
        <v>2026</v>
      </c>
      <c r="D540" s="23" t="n">
        <f aca="false">MONTH(B540)</f>
        <v>6</v>
      </c>
      <c r="E540" s="21" t="s">
        <v>61</v>
      </c>
      <c r="F540" s="21" t="s">
        <v>62</v>
      </c>
      <c r="G540" s="21" t="s">
        <v>72</v>
      </c>
      <c r="H540" s="24" t="n">
        <v>2</v>
      </c>
      <c r="I540" s="24" t="n">
        <v>7020</v>
      </c>
      <c r="J540" s="24" t="n">
        <v>4800</v>
      </c>
      <c r="K540" s="25" t="n">
        <f aca="false">H540*I540</f>
        <v>14040</v>
      </c>
      <c r="L540" s="25" t="n">
        <f aca="false">H540*(I540-J540)</f>
        <v>4440</v>
      </c>
    </row>
    <row r="541" customFormat="false" ht="15" hidden="false" customHeight="false" outlineLevel="0" collapsed="false">
      <c r="A541" s="21" t="s">
        <v>607</v>
      </c>
      <c r="B541" s="22" t="n">
        <v>46204</v>
      </c>
      <c r="C541" s="23" t="n">
        <f aca="false">YEAR(B541)</f>
        <v>2026</v>
      </c>
      <c r="D541" s="23" t="n">
        <f aca="false">MONTH(B541)</f>
        <v>7</v>
      </c>
      <c r="E541" s="21" t="s">
        <v>48</v>
      </c>
      <c r="F541" s="21" t="s">
        <v>44</v>
      </c>
      <c r="G541" s="21" t="s">
        <v>45</v>
      </c>
      <c r="H541" s="24" t="n">
        <v>9</v>
      </c>
      <c r="I541" s="24" t="n">
        <v>4490</v>
      </c>
      <c r="J541" s="24" t="n">
        <v>2800</v>
      </c>
      <c r="K541" s="25" t="n">
        <f aca="false">H541*I541</f>
        <v>40410</v>
      </c>
      <c r="L541" s="25" t="n">
        <f aca="false">H541*(I541-J541)</f>
        <v>15210</v>
      </c>
    </row>
    <row r="542" customFormat="false" ht="15" hidden="false" customHeight="false" outlineLevel="0" collapsed="false">
      <c r="A542" s="21" t="s">
        <v>608</v>
      </c>
      <c r="B542" s="22" t="n">
        <v>46204</v>
      </c>
      <c r="C542" s="23" t="n">
        <f aca="false">YEAR(B542)</f>
        <v>2026</v>
      </c>
      <c r="D542" s="23" t="n">
        <f aca="false">MONTH(B542)</f>
        <v>7</v>
      </c>
      <c r="E542" s="21" t="s">
        <v>56</v>
      </c>
      <c r="F542" s="21" t="s">
        <v>44</v>
      </c>
      <c r="G542" s="21" t="s">
        <v>49</v>
      </c>
      <c r="H542" s="24" t="n">
        <v>3</v>
      </c>
      <c r="I542" s="24" t="n">
        <v>62710</v>
      </c>
      <c r="J542" s="24" t="n">
        <v>48000</v>
      </c>
      <c r="K542" s="25" t="n">
        <f aca="false">H542*I542</f>
        <v>188130</v>
      </c>
      <c r="L542" s="25" t="n">
        <f aca="false">H542*(I542-J542)</f>
        <v>44130</v>
      </c>
    </row>
    <row r="543" customFormat="false" ht="15" hidden="false" customHeight="false" outlineLevel="0" collapsed="false">
      <c r="A543" s="21" t="s">
        <v>609</v>
      </c>
      <c r="B543" s="22" t="n">
        <v>46205</v>
      </c>
      <c r="C543" s="23" t="n">
        <f aca="false">YEAR(B543)</f>
        <v>2026</v>
      </c>
      <c r="D543" s="23" t="n">
        <f aca="false">MONTH(B543)</f>
        <v>7</v>
      </c>
      <c r="E543" s="21" t="s">
        <v>56</v>
      </c>
      <c r="F543" s="21" t="s">
        <v>44</v>
      </c>
      <c r="G543" s="21" t="s">
        <v>45</v>
      </c>
      <c r="H543" s="24" t="n">
        <v>2</v>
      </c>
      <c r="I543" s="24" t="n">
        <v>4270</v>
      </c>
      <c r="J543" s="24" t="n">
        <v>2800</v>
      </c>
      <c r="K543" s="25" t="n">
        <f aca="false">H543*I543</f>
        <v>8540</v>
      </c>
      <c r="L543" s="25" t="n">
        <f aca="false">H543*(I543-J543)</f>
        <v>2940</v>
      </c>
    </row>
    <row r="544" customFormat="false" ht="15" hidden="false" customHeight="false" outlineLevel="0" collapsed="false">
      <c r="A544" s="21" t="s">
        <v>610</v>
      </c>
      <c r="B544" s="22" t="n">
        <v>46210</v>
      </c>
      <c r="C544" s="23" t="n">
        <f aca="false">YEAR(B544)</f>
        <v>2026</v>
      </c>
      <c r="D544" s="23" t="n">
        <f aca="false">MONTH(B544)</f>
        <v>7</v>
      </c>
      <c r="E544" s="21" t="s">
        <v>76</v>
      </c>
      <c r="F544" s="21" t="s">
        <v>65</v>
      </c>
      <c r="G544" s="21" t="s">
        <v>66</v>
      </c>
      <c r="H544" s="24" t="n">
        <v>25</v>
      </c>
      <c r="I544" s="24" t="n">
        <v>4600</v>
      </c>
      <c r="J544" s="24" t="n">
        <v>1900</v>
      </c>
      <c r="K544" s="25" t="n">
        <f aca="false">H544*I544</f>
        <v>115000</v>
      </c>
      <c r="L544" s="25" t="n">
        <f aca="false">H544*(I544-J544)</f>
        <v>67500</v>
      </c>
    </row>
    <row r="545" customFormat="false" ht="15" hidden="false" customHeight="false" outlineLevel="0" collapsed="false">
      <c r="A545" s="21" t="s">
        <v>611</v>
      </c>
      <c r="B545" s="22" t="n">
        <v>46212</v>
      </c>
      <c r="C545" s="23" t="n">
        <f aca="false">YEAR(B545)</f>
        <v>2026</v>
      </c>
      <c r="D545" s="23" t="n">
        <f aca="false">MONTH(B545)</f>
        <v>7</v>
      </c>
      <c r="E545" s="21" t="s">
        <v>56</v>
      </c>
      <c r="F545" s="21" t="s">
        <v>62</v>
      </c>
      <c r="G545" s="21" t="s">
        <v>63</v>
      </c>
      <c r="H545" s="24" t="n">
        <v>3</v>
      </c>
      <c r="I545" s="24" t="n">
        <v>28300</v>
      </c>
      <c r="J545" s="24" t="n">
        <v>19500</v>
      </c>
      <c r="K545" s="25" t="n">
        <f aca="false">H545*I545</f>
        <v>84900</v>
      </c>
      <c r="L545" s="25" t="n">
        <f aca="false">H545*(I545-J545)</f>
        <v>26400</v>
      </c>
    </row>
    <row r="546" customFormat="false" ht="15" hidden="false" customHeight="false" outlineLevel="0" collapsed="false">
      <c r="A546" s="21" t="s">
        <v>612</v>
      </c>
      <c r="B546" s="22" t="n">
        <v>46212</v>
      </c>
      <c r="C546" s="23" t="n">
        <f aca="false">YEAR(B546)</f>
        <v>2026</v>
      </c>
      <c r="D546" s="23" t="n">
        <f aca="false">MONTH(B546)</f>
        <v>7</v>
      </c>
      <c r="E546" s="21" t="s">
        <v>61</v>
      </c>
      <c r="F546" s="21" t="s">
        <v>44</v>
      </c>
      <c r="G546" s="21" t="s">
        <v>45</v>
      </c>
      <c r="H546" s="24" t="n">
        <v>7</v>
      </c>
      <c r="I546" s="24" t="n">
        <v>4580</v>
      </c>
      <c r="J546" s="24" t="n">
        <v>2800</v>
      </c>
      <c r="K546" s="25" t="n">
        <f aca="false">H546*I546</f>
        <v>32060</v>
      </c>
      <c r="L546" s="25" t="n">
        <f aca="false">H546*(I546-J546)</f>
        <v>12460</v>
      </c>
    </row>
    <row r="547" customFormat="false" ht="15" hidden="false" customHeight="false" outlineLevel="0" collapsed="false">
      <c r="A547" s="21" t="s">
        <v>613</v>
      </c>
      <c r="B547" s="22" t="n">
        <v>46213</v>
      </c>
      <c r="C547" s="23" t="n">
        <f aca="false">YEAR(B547)</f>
        <v>2026</v>
      </c>
      <c r="D547" s="23" t="n">
        <f aca="false">MONTH(B547)</f>
        <v>7</v>
      </c>
      <c r="E547" s="21" t="s">
        <v>43</v>
      </c>
      <c r="F547" s="21" t="s">
        <v>44</v>
      </c>
      <c r="G547" s="21" t="s">
        <v>69</v>
      </c>
      <c r="H547" s="24" t="n">
        <v>5</v>
      </c>
      <c r="I547" s="24" t="n">
        <v>20980</v>
      </c>
      <c r="J547" s="24" t="n">
        <v>15500</v>
      </c>
      <c r="K547" s="25" t="n">
        <f aca="false">H547*I547</f>
        <v>104900</v>
      </c>
      <c r="L547" s="25" t="n">
        <f aca="false">H547*(I547-J547)</f>
        <v>27400</v>
      </c>
    </row>
    <row r="548" customFormat="false" ht="15" hidden="false" customHeight="false" outlineLevel="0" collapsed="false">
      <c r="A548" s="21" t="s">
        <v>614</v>
      </c>
      <c r="B548" s="22" t="n">
        <v>46213</v>
      </c>
      <c r="C548" s="23" t="n">
        <f aca="false">YEAR(B548)</f>
        <v>2026</v>
      </c>
      <c r="D548" s="23" t="n">
        <f aca="false">MONTH(B548)</f>
        <v>7</v>
      </c>
      <c r="E548" s="21" t="s">
        <v>76</v>
      </c>
      <c r="F548" s="21" t="s">
        <v>57</v>
      </c>
      <c r="G548" s="21" t="s">
        <v>78</v>
      </c>
      <c r="H548" s="24" t="n">
        <v>13</v>
      </c>
      <c r="I548" s="24" t="n">
        <v>650</v>
      </c>
      <c r="J548" s="24" t="n">
        <v>320</v>
      </c>
      <c r="K548" s="25" t="n">
        <f aca="false">H548*I548</f>
        <v>8450</v>
      </c>
      <c r="L548" s="25" t="n">
        <f aca="false">H548*(I548-J548)</f>
        <v>4290</v>
      </c>
    </row>
    <row r="549" customFormat="false" ht="15" hidden="false" customHeight="false" outlineLevel="0" collapsed="false">
      <c r="A549" s="21" t="s">
        <v>615</v>
      </c>
      <c r="B549" s="22" t="n">
        <v>46213</v>
      </c>
      <c r="C549" s="23" t="n">
        <f aca="false">YEAR(B549)</f>
        <v>2026</v>
      </c>
      <c r="D549" s="23" t="n">
        <f aca="false">MONTH(B549)</f>
        <v>7</v>
      </c>
      <c r="E549" s="21" t="s">
        <v>48</v>
      </c>
      <c r="F549" s="21" t="s">
        <v>57</v>
      </c>
      <c r="G549" s="21" t="s">
        <v>78</v>
      </c>
      <c r="H549" s="24" t="n">
        <v>26</v>
      </c>
      <c r="I549" s="24" t="n">
        <v>668</v>
      </c>
      <c r="J549" s="24" t="n">
        <v>320</v>
      </c>
      <c r="K549" s="25" t="n">
        <f aca="false">H549*I549</f>
        <v>17368</v>
      </c>
      <c r="L549" s="25" t="n">
        <f aca="false">H549*(I549-J549)</f>
        <v>9048</v>
      </c>
    </row>
    <row r="550" customFormat="false" ht="15" hidden="false" customHeight="false" outlineLevel="0" collapsed="false">
      <c r="A550" s="21" t="s">
        <v>616</v>
      </c>
      <c r="B550" s="22" t="n">
        <v>46214</v>
      </c>
      <c r="C550" s="23" t="n">
        <f aca="false">YEAR(B550)</f>
        <v>2026</v>
      </c>
      <c r="D550" s="23" t="n">
        <f aca="false">MONTH(B550)</f>
        <v>7</v>
      </c>
      <c r="E550" s="21" t="s">
        <v>56</v>
      </c>
      <c r="F550" s="21" t="s">
        <v>65</v>
      </c>
      <c r="G550" s="21" t="s">
        <v>89</v>
      </c>
      <c r="H550" s="24" t="n">
        <v>5</v>
      </c>
      <c r="I550" s="24" t="n">
        <v>1720</v>
      </c>
      <c r="J550" s="24" t="n">
        <v>500</v>
      </c>
      <c r="K550" s="25" t="n">
        <f aca="false">H550*I550</f>
        <v>8600</v>
      </c>
      <c r="L550" s="25" t="n">
        <f aca="false">H550*(I550-J550)</f>
        <v>6100</v>
      </c>
    </row>
    <row r="551" customFormat="false" ht="15" hidden="false" customHeight="false" outlineLevel="0" collapsed="false">
      <c r="A551" s="21" t="s">
        <v>617</v>
      </c>
      <c r="B551" s="22" t="n">
        <v>46214</v>
      </c>
      <c r="C551" s="23" t="n">
        <f aca="false">YEAR(B551)</f>
        <v>2026</v>
      </c>
      <c r="D551" s="23" t="n">
        <f aca="false">MONTH(B551)</f>
        <v>7</v>
      </c>
      <c r="E551" s="21" t="s">
        <v>43</v>
      </c>
      <c r="F551" s="21" t="s">
        <v>57</v>
      </c>
      <c r="G551" s="21" t="s">
        <v>78</v>
      </c>
      <c r="H551" s="24" t="n">
        <v>10</v>
      </c>
      <c r="I551" s="24" t="n">
        <v>633</v>
      </c>
      <c r="J551" s="24" t="n">
        <v>320</v>
      </c>
      <c r="K551" s="25" t="n">
        <f aca="false">H551*I551</f>
        <v>6330</v>
      </c>
      <c r="L551" s="25" t="n">
        <f aca="false">H551*(I551-J551)</f>
        <v>3130</v>
      </c>
    </row>
    <row r="552" customFormat="false" ht="15" hidden="false" customHeight="false" outlineLevel="0" collapsed="false">
      <c r="A552" s="21" t="s">
        <v>618</v>
      </c>
      <c r="B552" s="22" t="n">
        <v>46214</v>
      </c>
      <c r="C552" s="23" t="n">
        <f aca="false">YEAR(B552)</f>
        <v>2026</v>
      </c>
      <c r="D552" s="23" t="n">
        <f aca="false">MONTH(B552)</f>
        <v>7</v>
      </c>
      <c r="E552" s="21" t="s">
        <v>48</v>
      </c>
      <c r="F552" s="21" t="s">
        <v>62</v>
      </c>
      <c r="G552" s="21" t="s">
        <v>72</v>
      </c>
      <c r="H552" s="24" t="n">
        <v>2</v>
      </c>
      <c r="I552" s="24" t="n">
        <v>7120</v>
      </c>
      <c r="J552" s="24" t="n">
        <v>4800</v>
      </c>
      <c r="K552" s="25" t="n">
        <f aca="false">H552*I552</f>
        <v>14240</v>
      </c>
      <c r="L552" s="25" t="n">
        <f aca="false">H552*(I552-J552)</f>
        <v>4640</v>
      </c>
    </row>
    <row r="553" customFormat="false" ht="15" hidden="false" customHeight="false" outlineLevel="0" collapsed="false">
      <c r="A553" s="21" t="s">
        <v>619</v>
      </c>
      <c r="B553" s="22" t="n">
        <v>46215</v>
      </c>
      <c r="C553" s="23" t="n">
        <f aca="false">YEAR(B553)</f>
        <v>2026</v>
      </c>
      <c r="D553" s="23" t="n">
        <f aca="false">MONTH(B553)</f>
        <v>7</v>
      </c>
      <c r="E553" s="21" t="s">
        <v>43</v>
      </c>
      <c r="F553" s="21" t="s">
        <v>65</v>
      </c>
      <c r="G553" s="21" t="s">
        <v>66</v>
      </c>
      <c r="H553" s="24" t="n">
        <v>24</v>
      </c>
      <c r="I553" s="24" t="n">
        <v>4860</v>
      </c>
      <c r="J553" s="24" t="n">
        <v>1900</v>
      </c>
      <c r="K553" s="25" t="n">
        <f aca="false">H553*I553</f>
        <v>116640</v>
      </c>
      <c r="L553" s="25" t="n">
        <f aca="false">H553*(I553-J553)</f>
        <v>71040</v>
      </c>
    </row>
    <row r="554" customFormat="false" ht="15" hidden="false" customHeight="false" outlineLevel="0" collapsed="false">
      <c r="A554" s="21" t="s">
        <v>620</v>
      </c>
      <c r="B554" s="22" t="n">
        <v>46215</v>
      </c>
      <c r="C554" s="23" t="n">
        <f aca="false">YEAR(B554)</f>
        <v>2026</v>
      </c>
      <c r="D554" s="23" t="n">
        <f aca="false">MONTH(B554)</f>
        <v>7</v>
      </c>
      <c r="E554" s="21" t="s">
        <v>48</v>
      </c>
      <c r="F554" s="21" t="s">
        <v>62</v>
      </c>
      <c r="G554" s="21" t="s">
        <v>63</v>
      </c>
      <c r="H554" s="24" t="n">
        <v>4</v>
      </c>
      <c r="I554" s="24" t="n">
        <v>28860</v>
      </c>
      <c r="J554" s="24" t="n">
        <v>19500</v>
      </c>
      <c r="K554" s="25" t="n">
        <f aca="false">H554*I554</f>
        <v>115440</v>
      </c>
      <c r="L554" s="25" t="n">
        <f aca="false">H554*(I554-J554)</f>
        <v>37440</v>
      </c>
    </row>
    <row r="555" customFormat="false" ht="15" hidden="false" customHeight="false" outlineLevel="0" collapsed="false">
      <c r="A555" s="21" t="s">
        <v>621</v>
      </c>
      <c r="B555" s="22" t="n">
        <v>46216</v>
      </c>
      <c r="C555" s="23" t="n">
        <f aca="false">YEAR(B555)</f>
        <v>2026</v>
      </c>
      <c r="D555" s="23" t="n">
        <f aca="false">MONTH(B555)</f>
        <v>7</v>
      </c>
      <c r="E555" s="21" t="s">
        <v>56</v>
      </c>
      <c r="F555" s="21" t="s">
        <v>62</v>
      </c>
      <c r="G555" s="21" t="s">
        <v>92</v>
      </c>
      <c r="H555" s="24" t="n">
        <v>5</v>
      </c>
      <c r="I555" s="24" t="n">
        <v>13590</v>
      </c>
      <c r="J555" s="24" t="n">
        <v>9000</v>
      </c>
      <c r="K555" s="25" t="n">
        <f aca="false">H555*I555</f>
        <v>67950</v>
      </c>
      <c r="L555" s="25" t="n">
        <f aca="false">H555*(I555-J555)</f>
        <v>22950</v>
      </c>
    </row>
    <row r="556" customFormat="false" ht="15" hidden="false" customHeight="false" outlineLevel="0" collapsed="false">
      <c r="A556" s="21" t="s">
        <v>622</v>
      </c>
      <c r="B556" s="22" t="n">
        <v>46216</v>
      </c>
      <c r="C556" s="23" t="n">
        <f aca="false">YEAR(B556)</f>
        <v>2026</v>
      </c>
      <c r="D556" s="23" t="n">
        <f aca="false">MONTH(B556)</f>
        <v>7</v>
      </c>
      <c r="E556" s="21" t="s">
        <v>61</v>
      </c>
      <c r="F556" s="21" t="s">
        <v>57</v>
      </c>
      <c r="G556" s="21" t="s">
        <v>78</v>
      </c>
      <c r="H556" s="24" t="n">
        <v>21</v>
      </c>
      <c r="I556" s="24" t="n">
        <v>632</v>
      </c>
      <c r="J556" s="24" t="n">
        <v>320</v>
      </c>
      <c r="K556" s="25" t="n">
        <f aca="false">H556*I556</f>
        <v>13272</v>
      </c>
      <c r="L556" s="25" t="n">
        <f aca="false">H556*(I556-J556)</f>
        <v>6552</v>
      </c>
    </row>
    <row r="557" customFormat="false" ht="15" hidden="false" customHeight="false" outlineLevel="0" collapsed="false">
      <c r="A557" s="21" t="s">
        <v>623</v>
      </c>
      <c r="B557" s="22" t="n">
        <v>46218</v>
      </c>
      <c r="C557" s="23" t="n">
        <f aca="false">YEAR(B557)</f>
        <v>2026</v>
      </c>
      <c r="D557" s="23" t="n">
        <f aca="false">MONTH(B557)</f>
        <v>7</v>
      </c>
      <c r="E557" s="21" t="s">
        <v>43</v>
      </c>
      <c r="F557" s="21" t="s">
        <v>57</v>
      </c>
      <c r="G557" s="21" t="s">
        <v>78</v>
      </c>
      <c r="H557" s="24" t="n">
        <v>35</v>
      </c>
      <c r="I557" s="24" t="n">
        <v>622</v>
      </c>
      <c r="J557" s="24" t="n">
        <v>320</v>
      </c>
      <c r="K557" s="25" t="n">
        <f aca="false">H557*I557</f>
        <v>21770</v>
      </c>
      <c r="L557" s="25" t="n">
        <f aca="false">H557*(I557-J557)</f>
        <v>10570</v>
      </c>
    </row>
    <row r="558" customFormat="false" ht="15" hidden="false" customHeight="false" outlineLevel="0" collapsed="false">
      <c r="A558" s="21" t="s">
        <v>624</v>
      </c>
      <c r="B558" s="22" t="n">
        <v>46219</v>
      </c>
      <c r="C558" s="23" t="n">
        <f aca="false">YEAR(B558)</f>
        <v>2026</v>
      </c>
      <c r="D558" s="23" t="n">
        <f aca="false">MONTH(B558)</f>
        <v>7</v>
      </c>
      <c r="E558" s="21" t="s">
        <v>48</v>
      </c>
      <c r="F558" s="21" t="s">
        <v>62</v>
      </c>
      <c r="G558" s="21" t="s">
        <v>72</v>
      </c>
      <c r="H558" s="24" t="n">
        <v>3</v>
      </c>
      <c r="I558" s="24" t="n">
        <v>7250</v>
      </c>
      <c r="J558" s="24" t="n">
        <v>4800</v>
      </c>
      <c r="K558" s="25" t="n">
        <f aca="false">H558*I558</f>
        <v>21750</v>
      </c>
      <c r="L558" s="25" t="n">
        <f aca="false">H558*(I558-J558)</f>
        <v>7350</v>
      </c>
    </row>
    <row r="559" customFormat="false" ht="15" hidden="false" customHeight="false" outlineLevel="0" collapsed="false">
      <c r="A559" s="21" t="s">
        <v>625</v>
      </c>
      <c r="B559" s="22" t="n">
        <v>46220</v>
      </c>
      <c r="C559" s="23" t="n">
        <f aca="false">YEAR(B559)</f>
        <v>2026</v>
      </c>
      <c r="D559" s="23" t="n">
        <f aca="false">MONTH(B559)</f>
        <v>7</v>
      </c>
      <c r="E559" s="21" t="s">
        <v>43</v>
      </c>
      <c r="F559" s="21" t="s">
        <v>57</v>
      </c>
      <c r="G559" s="21" t="s">
        <v>78</v>
      </c>
      <c r="H559" s="24" t="n">
        <v>22</v>
      </c>
      <c r="I559" s="24" t="n">
        <v>636</v>
      </c>
      <c r="J559" s="24" t="n">
        <v>320</v>
      </c>
      <c r="K559" s="25" t="n">
        <f aca="false">H559*I559</f>
        <v>13992</v>
      </c>
      <c r="L559" s="25" t="n">
        <f aca="false">H559*(I559-J559)</f>
        <v>6952</v>
      </c>
    </row>
    <row r="560" customFormat="false" ht="15" hidden="false" customHeight="false" outlineLevel="0" collapsed="false">
      <c r="A560" s="21" t="s">
        <v>626</v>
      </c>
      <c r="B560" s="22" t="n">
        <v>46221</v>
      </c>
      <c r="C560" s="23" t="n">
        <f aca="false">YEAR(B560)</f>
        <v>2026</v>
      </c>
      <c r="D560" s="23" t="n">
        <f aca="false">MONTH(B560)</f>
        <v>7</v>
      </c>
      <c r="E560" s="21" t="s">
        <v>56</v>
      </c>
      <c r="F560" s="21" t="s">
        <v>57</v>
      </c>
      <c r="G560" s="21" t="s">
        <v>74</v>
      </c>
      <c r="H560" s="24" t="n">
        <v>41</v>
      </c>
      <c r="I560" s="24" t="n">
        <v>349</v>
      </c>
      <c r="J560" s="24" t="n">
        <v>170</v>
      </c>
      <c r="K560" s="25" t="n">
        <f aca="false">H560*I560</f>
        <v>14309</v>
      </c>
      <c r="L560" s="25" t="n">
        <f aca="false">H560*(I560-J560)</f>
        <v>7339</v>
      </c>
    </row>
    <row r="561" customFormat="false" ht="15" hidden="false" customHeight="false" outlineLevel="0" collapsed="false">
      <c r="A561" s="21" t="s">
        <v>627</v>
      </c>
      <c r="B561" s="22" t="n">
        <v>46221</v>
      </c>
      <c r="C561" s="23" t="n">
        <f aca="false">YEAR(B561)</f>
        <v>2026</v>
      </c>
      <c r="D561" s="23" t="n">
        <f aca="false">MONTH(B561)</f>
        <v>7</v>
      </c>
      <c r="E561" s="21" t="s">
        <v>48</v>
      </c>
      <c r="F561" s="21" t="s">
        <v>57</v>
      </c>
      <c r="G561" s="21" t="s">
        <v>78</v>
      </c>
      <c r="H561" s="24" t="n">
        <v>59</v>
      </c>
      <c r="I561" s="24" t="n">
        <v>668</v>
      </c>
      <c r="J561" s="24" t="n">
        <v>320</v>
      </c>
      <c r="K561" s="25" t="n">
        <f aca="false">H561*I561</f>
        <v>39412</v>
      </c>
      <c r="L561" s="25" t="n">
        <f aca="false">H561*(I561-J561)</f>
        <v>20532</v>
      </c>
    </row>
    <row r="562" customFormat="false" ht="15" hidden="false" customHeight="false" outlineLevel="0" collapsed="false">
      <c r="A562" s="21" t="s">
        <v>628</v>
      </c>
      <c r="B562" s="22" t="n">
        <v>46221</v>
      </c>
      <c r="C562" s="23" t="n">
        <f aca="false">YEAR(B562)</f>
        <v>2026</v>
      </c>
      <c r="D562" s="23" t="n">
        <f aca="false">MONTH(B562)</f>
        <v>7</v>
      </c>
      <c r="E562" s="21" t="s">
        <v>76</v>
      </c>
      <c r="F562" s="21" t="s">
        <v>57</v>
      </c>
      <c r="G562" s="21" t="s">
        <v>74</v>
      </c>
      <c r="H562" s="24" t="n">
        <v>41</v>
      </c>
      <c r="I562" s="24" t="n">
        <v>338</v>
      </c>
      <c r="J562" s="24" t="n">
        <v>170</v>
      </c>
      <c r="K562" s="25" t="n">
        <f aca="false">H562*I562</f>
        <v>13858</v>
      </c>
      <c r="L562" s="25" t="n">
        <f aca="false">H562*(I562-J562)</f>
        <v>6888</v>
      </c>
    </row>
    <row r="563" customFormat="false" ht="15" hidden="false" customHeight="false" outlineLevel="0" collapsed="false">
      <c r="A563" s="21" t="s">
        <v>629</v>
      </c>
      <c r="B563" s="22" t="n">
        <v>46221</v>
      </c>
      <c r="C563" s="23" t="n">
        <f aca="false">YEAR(B563)</f>
        <v>2026</v>
      </c>
      <c r="D563" s="23" t="n">
        <f aca="false">MONTH(B563)</f>
        <v>7</v>
      </c>
      <c r="E563" s="21" t="s">
        <v>43</v>
      </c>
      <c r="F563" s="21" t="s">
        <v>65</v>
      </c>
      <c r="G563" s="21" t="s">
        <v>66</v>
      </c>
      <c r="H563" s="24" t="n">
        <v>19</v>
      </c>
      <c r="I563" s="24" t="n">
        <v>4650</v>
      </c>
      <c r="J563" s="24" t="n">
        <v>1900</v>
      </c>
      <c r="K563" s="25" t="n">
        <f aca="false">H563*I563</f>
        <v>88350</v>
      </c>
      <c r="L563" s="25" t="n">
        <f aca="false">H563*(I563-J563)</f>
        <v>52250</v>
      </c>
    </row>
    <row r="564" customFormat="false" ht="15" hidden="false" customHeight="false" outlineLevel="0" collapsed="false">
      <c r="A564" s="21" t="s">
        <v>630</v>
      </c>
      <c r="B564" s="22" t="n">
        <v>46221</v>
      </c>
      <c r="C564" s="23" t="n">
        <f aca="false">YEAR(B564)</f>
        <v>2026</v>
      </c>
      <c r="D564" s="23" t="n">
        <f aca="false">MONTH(B564)</f>
        <v>7</v>
      </c>
      <c r="E564" s="21" t="s">
        <v>56</v>
      </c>
      <c r="F564" s="21" t="s">
        <v>65</v>
      </c>
      <c r="G564" s="21" t="s">
        <v>81</v>
      </c>
      <c r="H564" s="24" t="n">
        <v>11</v>
      </c>
      <c r="I564" s="24" t="n">
        <v>8840</v>
      </c>
      <c r="J564" s="24" t="n">
        <v>2500</v>
      </c>
      <c r="K564" s="25" t="n">
        <f aca="false">H564*I564</f>
        <v>97240</v>
      </c>
      <c r="L564" s="25" t="n">
        <f aca="false">H564*(I564-J564)</f>
        <v>69740</v>
      </c>
    </row>
    <row r="565" customFormat="false" ht="15" hidden="false" customHeight="false" outlineLevel="0" collapsed="false">
      <c r="A565" s="21" t="s">
        <v>631</v>
      </c>
      <c r="B565" s="22" t="n">
        <v>46223</v>
      </c>
      <c r="C565" s="23" t="n">
        <f aca="false">YEAR(B565)</f>
        <v>2026</v>
      </c>
      <c r="D565" s="23" t="n">
        <f aca="false">MONTH(B565)</f>
        <v>7</v>
      </c>
      <c r="E565" s="21" t="s">
        <v>56</v>
      </c>
      <c r="F565" s="21" t="s">
        <v>57</v>
      </c>
      <c r="G565" s="21" t="s">
        <v>58</v>
      </c>
      <c r="H565" s="24" t="n">
        <v>28</v>
      </c>
      <c r="I565" s="24" t="n">
        <v>1730</v>
      </c>
      <c r="J565" s="24" t="n">
        <v>1250</v>
      </c>
      <c r="K565" s="25" t="n">
        <f aca="false">H565*I565</f>
        <v>48440</v>
      </c>
      <c r="L565" s="25" t="n">
        <f aca="false">H565*(I565-J565)</f>
        <v>13440</v>
      </c>
    </row>
    <row r="566" customFormat="false" ht="15" hidden="false" customHeight="false" outlineLevel="0" collapsed="false">
      <c r="A566" s="21" t="s">
        <v>632</v>
      </c>
      <c r="B566" s="22" t="n">
        <v>46223</v>
      </c>
      <c r="C566" s="23" t="n">
        <f aca="false">YEAR(B566)</f>
        <v>2026</v>
      </c>
      <c r="D566" s="23" t="n">
        <f aca="false">MONTH(B566)</f>
        <v>7</v>
      </c>
      <c r="E566" s="21" t="s">
        <v>61</v>
      </c>
      <c r="F566" s="21" t="s">
        <v>44</v>
      </c>
      <c r="G566" s="21" t="s">
        <v>45</v>
      </c>
      <c r="H566" s="24" t="n">
        <v>8</v>
      </c>
      <c r="I566" s="24" t="n">
        <v>4430</v>
      </c>
      <c r="J566" s="24" t="n">
        <v>2800</v>
      </c>
      <c r="K566" s="25" t="n">
        <f aca="false">H566*I566</f>
        <v>35440</v>
      </c>
      <c r="L566" s="25" t="n">
        <f aca="false">H566*(I566-J566)</f>
        <v>13040</v>
      </c>
    </row>
    <row r="567" customFormat="false" ht="15" hidden="false" customHeight="false" outlineLevel="0" collapsed="false">
      <c r="A567" s="21" t="s">
        <v>633</v>
      </c>
      <c r="B567" s="22" t="n">
        <v>46223</v>
      </c>
      <c r="C567" s="23" t="n">
        <f aca="false">YEAR(B567)</f>
        <v>2026</v>
      </c>
      <c r="D567" s="23" t="n">
        <f aca="false">MONTH(B567)</f>
        <v>7</v>
      </c>
      <c r="E567" s="21" t="s">
        <v>61</v>
      </c>
      <c r="F567" s="21" t="s">
        <v>44</v>
      </c>
      <c r="G567" s="21" t="s">
        <v>49</v>
      </c>
      <c r="H567" s="24" t="n">
        <v>3</v>
      </c>
      <c r="I567" s="24" t="n">
        <v>59570</v>
      </c>
      <c r="J567" s="24" t="n">
        <v>48000</v>
      </c>
      <c r="K567" s="25" t="n">
        <f aca="false">H567*I567</f>
        <v>178710</v>
      </c>
      <c r="L567" s="25" t="n">
        <f aca="false">H567*(I567-J567)</f>
        <v>34710</v>
      </c>
    </row>
    <row r="568" customFormat="false" ht="15" hidden="false" customHeight="false" outlineLevel="0" collapsed="false">
      <c r="A568" s="21" t="s">
        <v>634</v>
      </c>
      <c r="B568" s="22" t="n">
        <v>46225</v>
      </c>
      <c r="C568" s="23" t="n">
        <f aca="false">YEAR(B568)</f>
        <v>2026</v>
      </c>
      <c r="D568" s="23" t="n">
        <f aca="false">MONTH(B568)</f>
        <v>7</v>
      </c>
      <c r="E568" s="21" t="s">
        <v>43</v>
      </c>
      <c r="F568" s="21" t="s">
        <v>44</v>
      </c>
      <c r="G568" s="21" t="s">
        <v>49</v>
      </c>
      <c r="H568" s="24" t="n">
        <v>3</v>
      </c>
      <c r="I568" s="24" t="n">
        <v>60480</v>
      </c>
      <c r="J568" s="24" t="n">
        <v>48000</v>
      </c>
      <c r="K568" s="25" t="n">
        <f aca="false">H568*I568</f>
        <v>181440</v>
      </c>
      <c r="L568" s="25" t="n">
        <f aca="false">H568*(I568-J568)</f>
        <v>37440</v>
      </c>
    </row>
    <row r="569" customFormat="false" ht="15" hidden="false" customHeight="false" outlineLevel="0" collapsed="false">
      <c r="A569" s="21" t="s">
        <v>635</v>
      </c>
      <c r="B569" s="22" t="n">
        <v>46227</v>
      </c>
      <c r="C569" s="23" t="n">
        <f aca="false">YEAR(B569)</f>
        <v>2026</v>
      </c>
      <c r="D569" s="23" t="n">
        <f aca="false">MONTH(B569)</f>
        <v>7</v>
      </c>
      <c r="E569" s="21" t="s">
        <v>48</v>
      </c>
      <c r="F569" s="21" t="s">
        <v>65</v>
      </c>
      <c r="G569" s="21" t="s">
        <v>89</v>
      </c>
      <c r="H569" s="24" t="n">
        <v>25</v>
      </c>
      <c r="I569" s="24" t="n">
        <v>1690</v>
      </c>
      <c r="J569" s="24" t="n">
        <v>500</v>
      </c>
      <c r="K569" s="25" t="n">
        <f aca="false">H569*I569</f>
        <v>42250</v>
      </c>
      <c r="L569" s="25" t="n">
        <f aca="false">H569*(I569-J569)</f>
        <v>29750</v>
      </c>
    </row>
    <row r="570" customFormat="false" ht="15" hidden="false" customHeight="false" outlineLevel="0" collapsed="false">
      <c r="A570" s="21" t="s">
        <v>636</v>
      </c>
      <c r="B570" s="22" t="n">
        <v>46228</v>
      </c>
      <c r="C570" s="23" t="n">
        <f aca="false">YEAR(B570)</f>
        <v>2026</v>
      </c>
      <c r="D570" s="23" t="n">
        <f aca="false">MONTH(B570)</f>
        <v>7</v>
      </c>
      <c r="E570" s="21" t="s">
        <v>43</v>
      </c>
      <c r="F570" s="21" t="s">
        <v>44</v>
      </c>
      <c r="G570" s="21" t="s">
        <v>45</v>
      </c>
      <c r="H570" s="24" t="n">
        <v>8</v>
      </c>
      <c r="I570" s="24" t="n">
        <v>4220</v>
      </c>
      <c r="J570" s="24" t="n">
        <v>2800</v>
      </c>
      <c r="K570" s="25" t="n">
        <f aca="false">H570*I570</f>
        <v>33760</v>
      </c>
      <c r="L570" s="25" t="n">
        <f aca="false">H570*(I570-J570)</f>
        <v>11360</v>
      </c>
    </row>
    <row r="571" customFormat="false" ht="15" hidden="false" customHeight="false" outlineLevel="0" collapsed="false">
      <c r="A571" s="21" t="s">
        <v>637</v>
      </c>
      <c r="B571" s="22" t="n">
        <v>46228</v>
      </c>
      <c r="C571" s="23" t="n">
        <f aca="false">YEAR(B571)</f>
        <v>2026</v>
      </c>
      <c r="D571" s="23" t="n">
        <f aca="false">MONTH(B571)</f>
        <v>7</v>
      </c>
      <c r="E571" s="21" t="s">
        <v>48</v>
      </c>
      <c r="F571" s="21" t="s">
        <v>57</v>
      </c>
      <c r="G571" s="21" t="s">
        <v>78</v>
      </c>
      <c r="H571" s="24" t="n">
        <v>18</v>
      </c>
      <c r="I571" s="24" t="n">
        <v>633</v>
      </c>
      <c r="J571" s="24" t="n">
        <v>320</v>
      </c>
      <c r="K571" s="25" t="n">
        <f aca="false">H571*I571</f>
        <v>11394</v>
      </c>
      <c r="L571" s="25" t="n">
        <f aca="false">H571*(I571-J571)</f>
        <v>5634</v>
      </c>
    </row>
    <row r="572" customFormat="false" ht="15" hidden="false" customHeight="false" outlineLevel="0" collapsed="false">
      <c r="A572" s="21" t="s">
        <v>638</v>
      </c>
      <c r="B572" s="22" t="n">
        <v>46228</v>
      </c>
      <c r="C572" s="23" t="n">
        <f aca="false">YEAR(B572)</f>
        <v>2026</v>
      </c>
      <c r="D572" s="23" t="n">
        <f aca="false">MONTH(B572)</f>
        <v>7</v>
      </c>
      <c r="E572" s="21" t="s">
        <v>48</v>
      </c>
      <c r="F572" s="21" t="s">
        <v>44</v>
      </c>
      <c r="G572" s="21" t="s">
        <v>69</v>
      </c>
      <c r="H572" s="24" t="n">
        <v>4</v>
      </c>
      <c r="I572" s="24" t="n">
        <v>21150</v>
      </c>
      <c r="J572" s="24" t="n">
        <v>15500</v>
      </c>
      <c r="K572" s="25" t="n">
        <f aca="false">H572*I572</f>
        <v>84600</v>
      </c>
      <c r="L572" s="25" t="n">
        <f aca="false">H572*(I572-J572)</f>
        <v>22600</v>
      </c>
    </row>
    <row r="573" customFormat="false" ht="15" hidden="false" customHeight="false" outlineLevel="0" collapsed="false">
      <c r="A573" s="21" t="s">
        <v>639</v>
      </c>
      <c r="B573" s="22" t="n">
        <v>46230</v>
      </c>
      <c r="C573" s="23" t="n">
        <f aca="false">YEAR(B573)</f>
        <v>2026</v>
      </c>
      <c r="D573" s="23" t="n">
        <f aca="false">MONTH(B573)</f>
        <v>7</v>
      </c>
      <c r="E573" s="21" t="s">
        <v>48</v>
      </c>
      <c r="F573" s="21" t="s">
        <v>57</v>
      </c>
      <c r="G573" s="21" t="s">
        <v>74</v>
      </c>
      <c r="H573" s="24" t="n">
        <v>44</v>
      </c>
      <c r="I573" s="24" t="n">
        <v>341</v>
      </c>
      <c r="J573" s="24" t="n">
        <v>170</v>
      </c>
      <c r="K573" s="25" t="n">
        <f aca="false">H573*I573</f>
        <v>15004</v>
      </c>
      <c r="L573" s="25" t="n">
        <f aca="false">H573*(I573-J573)</f>
        <v>7524</v>
      </c>
    </row>
    <row r="574" customFormat="false" ht="15" hidden="false" customHeight="false" outlineLevel="0" collapsed="false">
      <c r="A574" s="21" t="s">
        <v>640</v>
      </c>
      <c r="B574" s="22" t="n">
        <v>46230</v>
      </c>
      <c r="C574" s="23" t="n">
        <f aca="false">YEAR(B574)</f>
        <v>2026</v>
      </c>
      <c r="D574" s="23" t="n">
        <f aca="false">MONTH(B574)</f>
        <v>7</v>
      </c>
      <c r="E574" s="21" t="s">
        <v>43</v>
      </c>
      <c r="F574" s="21" t="s">
        <v>65</v>
      </c>
      <c r="G574" s="21" t="s">
        <v>66</v>
      </c>
      <c r="H574" s="24" t="n">
        <v>20</v>
      </c>
      <c r="I574" s="24" t="n">
        <v>4520</v>
      </c>
      <c r="J574" s="24" t="n">
        <v>1900</v>
      </c>
      <c r="K574" s="25" t="n">
        <f aca="false">H574*I574</f>
        <v>90400</v>
      </c>
      <c r="L574" s="25" t="n">
        <f aca="false">H574*(I574-J574)</f>
        <v>52400</v>
      </c>
    </row>
    <row r="575" customFormat="false" ht="15" hidden="false" customHeight="false" outlineLevel="0" collapsed="false">
      <c r="A575" s="21" t="s">
        <v>641</v>
      </c>
      <c r="B575" s="22" t="n">
        <v>46231</v>
      </c>
      <c r="C575" s="23" t="n">
        <f aca="false">YEAR(B575)</f>
        <v>2026</v>
      </c>
      <c r="D575" s="23" t="n">
        <f aca="false">MONTH(B575)</f>
        <v>7</v>
      </c>
      <c r="E575" s="21" t="s">
        <v>48</v>
      </c>
      <c r="F575" s="21" t="s">
        <v>44</v>
      </c>
      <c r="G575" s="21" t="s">
        <v>45</v>
      </c>
      <c r="H575" s="24" t="n">
        <v>7</v>
      </c>
      <c r="I575" s="24" t="n">
        <v>4390</v>
      </c>
      <c r="J575" s="24" t="n">
        <v>2800</v>
      </c>
      <c r="K575" s="25" t="n">
        <f aca="false">H575*I575</f>
        <v>30730</v>
      </c>
      <c r="L575" s="25" t="n">
        <f aca="false">H575*(I575-J575)</f>
        <v>11130</v>
      </c>
    </row>
    <row r="576" customFormat="false" ht="15" hidden="false" customHeight="false" outlineLevel="0" collapsed="false">
      <c r="A576" s="21" t="s">
        <v>642</v>
      </c>
      <c r="B576" s="22" t="n">
        <v>46232</v>
      </c>
      <c r="C576" s="23" t="n">
        <f aca="false">YEAR(B576)</f>
        <v>2026</v>
      </c>
      <c r="D576" s="23" t="n">
        <f aca="false">MONTH(B576)</f>
        <v>7</v>
      </c>
      <c r="E576" s="21" t="s">
        <v>61</v>
      </c>
      <c r="F576" s="21" t="s">
        <v>57</v>
      </c>
      <c r="G576" s="21" t="s">
        <v>78</v>
      </c>
      <c r="H576" s="24" t="n">
        <v>23</v>
      </c>
      <c r="I576" s="24" t="n">
        <v>647</v>
      </c>
      <c r="J576" s="24" t="n">
        <v>320</v>
      </c>
      <c r="K576" s="25" t="n">
        <f aca="false">H576*I576</f>
        <v>14881</v>
      </c>
      <c r="L576" s="25" t="n">
        <f aca="false">H576*(I576-J576)</f>
        <v>7521</v>
      </c>
    </row>
    <row r="577" customFormat="false" ht="15" hidden="false" customHeight="false" outlineLevel="0" collapsed="false">
      <c r="A577" s="21" t="s">
        <v>643</v>
      </c>
      <c r="B577" s="22" t="n">
        <v>46232</v>
      </c>
      <c r="C577" s="23" t="n">
        <f aca="false">YEAR(B577)</f>
        <v>2026</v>
      </c>
      <c r="D577" s="23" t="n">
        <f aca="false">MONTH(B577)</f>
        <v>7</v>
      </c>
      <c r="E577" s="21" t="s">
        <v>56</v>
      </c>
      <c r="F577" s="21" t="s">
        <v>62</v>
      </c>
      <c r="G577" s="21" t="s">
        <v>72</v>
      </c>
      <c r="H577" s="24" t="n">
        <v>1</v>
      </c>
      <c r="I577" s="24" t="n">
        <v>7110</v>
      </c>
      <c r="J577" s="24" t="n">
        <v>4800</v>
      </c>
      <c r="K577" s="25" t="n">
        <f aca="false">H577*I577</f>
        <v>7110</v>
      </c>
      <c r="L577" s="25" t="n">
        <f aca="false">H577*(I577-J577)</f>
        <v>2310</v>
      </c>
    </row>
    <row r="578" customFormat="false" ht="15" hidden="false" customHeight="false" outlineLevel="0" collapsed="false">
      <c r="A578" s="21" t="s">
        <v>644</v>
      </c>
      <c r="B578" s="22" t="n">
        <v>46233</v>
      </c>
      <c r="C578" s="23" t="n">
        <f aca="false">YEAR(B578)</f>
        <v>2026</v>
      </c>
      <c r="D578" s="23" t="n">
        <f aca="false">MONTH(B578)</f>
        <v>7</v>
      </c>
      <c r="E578" s="21" t="s">
        <v>56</v>
      </c>
      <c r="F578" s="21" t="s">
        <v>57</v>
      </c>
      <c r="G578" s="21" t="s">
        <v>58</v>
      </c>
      <c r="H578" s="24" t="n">
        <v>27</v>
      </c>
      <c r="I578" s="24" t="n">
        <v>1790</v>
      </c>
      <c r="J578" s="24" t="n">
        <v>1250</v>
      </c>
      <c r="K578" s="25" t="n">
        <f aca="false">H578*I578</f>
        <v>48330</v>
      </c>
      <c r="L578" s="25" t="n">
        <f aca="false">H578*(I578-J578)</f>
        <v>14580</v>
      </c>
    </row>
    <row r="579" customFormat="false" ht="15" hidden="false" customHeight="false" outlineLevel="0" collapsed="false">
      <c r="A579" s="21" t="s">
        <v>645</v>
      </c>
      <c r="B579" s="22" t="n">
        <v>46233</v>
      </c>
      <c r="C579" s="23" t="n">
        <f aca="false">YEAR(B579)</f>
        <v>2026</v>
      </c>
      <c r="D579" s="23" t="n">
        <f aca="false">MONTH(B579)</f>
        <v>7</v>
      </c>
      <c r="E579" s="21" t="s">
        <v>56</v>
      </c>
      <c r="F579" s="21" t="s">
        <v>44</v>
      </c>
      <c r="G579" s="21" t="s">
        <v>45</v>
      </c>
      <c r="H579" s="24" t="n">
        <v>4</v>
      </c>
      <c r="I579" s="24" t="n">
        <v>4230</v>
      </c>
      <c r="J579" s="24" t="n">
        <v>2800</v>
      </c>
      <c r="K579" s="25" t="n">
        <f aca="false">H579*I579</f>
        <v>16920</v>
      </c>
      <c r="L579" s="25" t="n">
        <f aca="false">H579*(I579-J579)</f>
        <v>5720</v>
      </c>
    </row>
    <row r="580" customFormat="false" ht="15" hidden="false" customHeight="false" outlineLevel="0" collapsed="false">
      <c r="A580" s="21" t="s">
        <v>646</v>
      </c>
      <c r="B580" s="22" t="n">
        <v>46233</v>
      </c>
      <c r="C580" s="23" t="n">
        <f aca="false">YEAR(B580)</f>
        <v>2026</v>
      </c>
      <c r="D580" s="23" t="n">
        <f aca="false">MONTH(B580)</f>
        <v>7</v>
      </c>
      <c r="E580" s="21" t="s">
        <v>48</v>
      </c>
      <c r="F580" s="21" t="s">
        <v>44</v>
      </c>
      <c r="G580" s="21" t="s">
        <v>69</v>
      </c>
      <c r="H580" s="24" t="n">
        <v>5</v>
      </c>
      <c r="I580" s="24" t="n">
        <v>19640</v>
      </c>
      <c r="J580" s="24" t="n">
        <v>15500</v>
      </c>
      <c r="K580" s="25" t="n">
        <f aca="false">H580*I580</f>
        <v>98200</v>
      </c>
      <c r="L580" s="25" t="n">
        <f aca="false">H580*(I580-J580)</f>
        <v>20700</v>
      </c>
    </row>
    <row r="581" customFormat="false" ht="15" hidden="false" customHeight="false" outlineLevel="0" collapsed="false">
      <c r="A581" s="21" t="s">
        <v>647</v>
      </c>
      <c r="B581" s="22" t="n">
        <v>46234</v>
      </c>
      <c r="C581" s="23" t="n">
        <f aca="false">YEAR(B581)</f>
        <v>2026</v>
      </c>
      <c r="D581" s="23" t="n">
        <f aca="false">MONTH(B581)</f>
        <v>7</v>
      </c>
      <c r="E581" s="21" t="s">
        <v>56</v>
      </c>
      <c r="F581" s="21" t="s">
        <v>62</v>
      </c>
      <c r="G581" s="21" t="s">
        <v>92</v>
      </c>
      <c r="H581" s="24" t="n">
        <v>2</v>
      </c>
      <c r="I581" s="24" t="n">
        <v>13070</v>
      </c>
      <c r="J581" s="24" t="n">
        <v>9000</v>
      </c>
      <c r="K581" s="25" t="n">
        <f aca="false">H581*I581</f>
        <v>26140</v>
      </c>
      <c r="L581" s="25" t="n">
        <f aca="false">H581*(I581-J581)</f>
        <v>8140</v>
      </c>
    </row>
    <row r="582" customFormat="false" ht="15" hidden="false" customHeight="false" outlineLevel="0" collapsed="false">
      <c r="A582" s="21" t="s">
        <v>648</v>
      </c>
      <c r="B582" s="22" t="n">
        <v>46235</v>
      </c>
      <c r="C582" s="23" t="n">
        <f aca="false">YEAR(B582)</f>
        <v>2026</v>
      </c>
      <c r="D582" s="23" t="n">
        <f aca="false">MONTH(B582)</f>
        <v>8</v>
      </c>
      <c r="E582" s="21" t="s">
        <v>48</v>
      </c>
      <c r="F582" s="21" t="s">
        <v>62</v>
      </c>
      <c r="G582" s="21" t="s">
        <v>63</v>
      </c>
      <c r="H582" s="24" t="n">
        <v>2</v>
      </c>
      <c r="I582" s="24" t="n">
        <v>26330</v>
      </c>
      <c r="J582" s="24" t="n">
        <v>19500</v>
      </c>
      <c r="K582" s="25" t="n">
        <f aca="false">H582*I582</f>
        <v>52660</v>
      </c>
      <c r="L582" s="25" t="n">
        <f aca="false">H582*(I582-J582)</f>
        <v>13660</v>
      </c>
    </row>
    <row r="583" customFormat="false" ht="15" hidden="false" customHeight="false" outlineLevel="0" collapsed="false">
      <c r="A583" s="21" t="s">
        <v>649</v>
      </c>
      <c r="B583" s="22" t="n">
        <v>46235</v>
      </c>
      <c r="C583" s="23" t="n">
        <f aca="false">YEAR(B583)</f>
        <v>2026</v>
      </c>
      <c r="D583" s="23" t="n">
        <f aca="false">MONTH(B583)</f>
        <v>8</v>
      </c>
      <c r="E583" s="21" t="s">
        <v>56</v>
      </c>
      <c r="F583" s="21" t="s">
        <v>44</v>
      </c>
      <c r="G583" s="21" t="s">
        <v>45</v>
      </c>
      <c r="H583" s="24" t="n">
        <v>3</v>
      </c>
      <c r="I583" s="24" t="n">
        <v>4190</v>
      </c>
      <c r="J583" s="24" t="n">
        <v>2800</v>
      </c>
      <c r="K583" s="25" t="n">
        <f aca="false">H583*I583</f>
        <v>12570</v>
      </c>
      <c r="L583" s="25" t="n">
        <f aca="false">H583*(I583-J583)</f>
        <v>4170</v>
      </c>
    </row>
    <row r="584" customFormat="false" ht="15" hidden="false" customHeight="false" outlineLevel="0" collapsed="false">
      <c r="A584" s="21" t="s">
        <v>650</v>
      </c>
      <c r="B584" s="22" t="n">
        <v>46239</v>
      </c>
      <c r="C584" s="23" t="n">
        <f aca="false">YEAR(B584)</f>
        <v>2026</v>
      </c>
      <c r="D584" s="23" t="n">
        <f aca="false">MONTH(B584)</f>
        <v>8</v>
      </c>
      <c r="E584" s="21" t="s">
        <v>61</v>
      </c>
      <c r="F584" s="21" t="s">
        <v>65</v>
      </c>
      <c r="G584" s="21" t="s">
        <v>81</v>
      </c>
      <c r="H584" s="24" t="n">
        <v>5</v>
      </c>
      <c r="I584" s="24" t="n">
        <v>9040</v>
      </c>
      <c r="J584" s="24" t="n">
        <v>2500</v>
      </c>
      <c r="K584" s="25" t="n">
        <f aca="false">H584*I584</f>
        <v>45200</v>
      </c>
      <c r="L584" s="25" t="n">
        <f aca="false">H584*(I584-J584)</f>
        <v>32700</v>
      </c>
    </row>
    <row r="585" customFormat="false" ht="15" hidden="false" customHeight="false" outlineLevel="0" collapsed="false">
      <c r="A585" s="21" t="s">
        <v>651</v>
      </c>
      <c r="B585" s="22" t="n">
        <v>46239</v>
      </c>
      <c r="C585" s="23" t="n">
        <f aca="false">YEAR(B585)</f>
        <v>2026</v>
      </c>
      <c r="D585" s="23" t="n">
        <f aca="false">MONTH(B585)</f>
        <v>8</v>
      </c>
      <c r="E585" s="21" t="s">
        <v>56</v>
      </c>
      <c r="F585" s="21" t="s">
        <v>62</v>
      </c>
      <c r="G585" s="21" t="s">
        <v>63</v>
      </c>
      <c r="H585" s="24" t="n">
        <v>1</v>
      </c>
      <c r="I585" s="24" t="n">
        <v>27830</v>
      </c>
      <c r="J585" s="24" t="n">
        <v>19500</v>
      </c>
      <c r="K585" s="25" t="n">
        <f aca="false">H585*I585</f>
        <v>27830</v>
      </c>
      <c r="L585" s="25" t="n">
        <f aca="false">H585*(I585-J585)</f>
        <v>8330</v>
      </c>
    </row>
    <row r="586" customFormat="false" ht="15" hidden="false" customHeight="false" outlineLevel="0" collapsed="false">
      <c r="A586" s="21" t="s">
        <v>652</v>
      </c>
      <c r="B586" s="22" t="n">
        <v>46240</v>
      </c>
      <c r="C586" s="23" t="n">
        <f aca="false">YEAR(B586)</f>
        <v>2026</v>
      </c>
      <c r="D586" s="23" t="n">
        <f aca="false">MONTH(B586)</f>
        <v>8</v>
      </c>
      <c r="E586" s="21" t="s">
        <v>56</v>
      </c>
      <c r="F586" s="21" t="s">
        <v>44</v>
      </c>
      <c r="G586" s="21" t="s">
        <v>69</v>
      </c>
      <c r="H586" s="24" t="n">
        <v>1</v>
      </c>
      <c r="I586" s="24" t="n">
        <v>21830</v>
      </c>
      <c r="J586" s="24" t="n">
        <v>15500</v>
      </c>
      <c r="K586" s="25" t="n">
        <f aca="false">H586*I586</f>
        <v>21830</v>
      </c>
      <c r="L586" s="25" t="n">
        <f aca="false">H586*(I586-J586)</f>
        <v>6330</v>
      </c>
    </row>
    <row r="587" customFormat="false" ht="15" hidden="false" customHeight="false" outlineLevel="0" collapsed="false">
      <c r="A587" s="21" t="s">
        <v>653</v>
      </c>
      <c r="B587" s="22" t="n">
        <v>46242</v>
      </c>
      <c r="C587" s="23" t="n">
        <f aca="false">YEAR(B587)</f>
        <v>2026</v>
      </c>
      <c r="D587" s="23" t="n">
        <f aca="false">MONTH(B587)</f>
        <v>8</v>
      </c>
      <c r="E587" s="21" t="s">
        <v>56</v>
      </c>
      <c r="F587" s="21" t="s">
        <v>44</v>
      </c>
      <c r="G587" s="21" t="s">
        <v>45</v>
      </c>
      <c r="H587" s="24" t="n">
        <v>4</v>
      </c>
      <c r="I587" s="24" t="n">
        <v>4230</v>
      </c>
      <c r="J587" s="24" t="n">
        <v>2800</v>
      </c>
      <c r="K587" s="25" t="n">
        <f aca="false">H587*I587</f>
        <v>16920</v>
      </c>
      <c r="L587" s="25" t="n">
        <f aca="false">H587*(I587-J587)</f>
        <v>5720</v>
      </c>
    </row>
    <row r="588" customFormat="false" ht="15" hidden="false" customHeight="false" outlineLevel="0" collapsed="false">
      <c r="A588" s="21" t="s">
        <v>654</v>
      </c>
      <c r="B588" s="22" t="n">
        <v>46243</v>
      </c>
      <c r="C588" s="23" t="n">
        <f aca="false">YEAR(B588)</f>
        <v>2026</v>
      </c>
      <c r="D588" s="23" t="n">
        <f aca="false">MONTH(B588)</f>
        <v>8</v>
      </c>
      <c r="E588" s="21" t="s">
        <v>56</v>
      </c>
      <c r="F588" s="21" t="s">
        <v>65</v>
      </c>
      <c r="G588" s="21" t="s">
        <v>81</v>
      </c>
      <c r="H588" s="24" t="n">
        <v>4</v>
      </c>
      <c r="I588" s="24" t="n">
        <v>8880</v>
      </c>
      <c r="J588" s="24" t="n">
        <v>2500</v>
      </c>
      <c r="K588" s="25" t="n">
        <f aca="false">H588*I588</f>
        <v>35520</v>
      </c>
      <c r="L588" s="25" t="n">
        <f aca="false">H588*(I588-J588)</f>
        <v>25520</v>
      </c>
    </row>
    <row r="589" customFormat="false" ht="15" hidden="false" customHeight="false" outlineLevel="0" collapsed="false">
      <c r="A589" s="21" t="s">
        <v>655</v>
      </c>
      <c r="B589" s="22" t="n">
        <v>46243</v>
      </c>
      <c r="C589" s="23" t="n">
        <f aca="false">YEAR(B589)</f>
        <v>2026</v>
      </c>
      <c r="D589" s="23" t="n">
        <f aca="false">MONTH(B589)</f>
        <v>8</v>
      </c>
      <c r="E589" s="21" t="s">
        <v>43</v>
      </c>
      <c r="F589" s="21" t="s">
        <v>62</v>
      </c>
      <c r="G589" s="21" t="s">
        <v>72</v>
      </c>
      <c r="H589" s="24" t="n">
        <v>5</v>
      </c>
      <c r="I589" s="24" t="n">
        <v>7330</v>
      </c>
      <c r="J589" s="24" t="n">
        <v>4800</v>
      </c>
      <c r="K589" s="25" t="n">
        <f aca="false">H589*I589</f>
        <v>36650</v>
      </c>
      <c r="L589" s="25" t="n">
        <f aca="false">H589*(I589-J589)</f>
        <v>12650</v>
      </c>
    </row>
    <row r="590" customFormat="false" ht="15" hidden="false" customHeight="false" outlineLevel="0" collapsed="false">
      <c r="A590" s="21" t="s">
        <v>656</v>
      </c>
      <c r="B590" s="22" t="n">
        <v>46243</v>
      </c>
      <c r="C590" s="23" t="n">
        <f aca="false">YEAR(B590)</f>
        <v>2026</v>
      </c>
      <c r="D590" s="23" t="n">
        <f aca="false">MONTH(B590)</f>
        <v>8</v>
      </c>
      <c r="E590" s="21" t="s">
        <v>48</v>
      </c>
      <c r="F590" s="21" t="s">
        <v>57</v>
      </c>
      <c r="G590" s="21" t="s">
        <v>74</v>
      </c>
      <c r="H590" s="24" t="n">
        <v>58</v>
      </c>
      <c r="I590" s="24" t="n">
        <v>356</v>
      </c>
      <c r="J590" s="24" t="n">
        <v>170</v>
      </c>
      <c r="K590" s="25" t="n">
        <f aca="false">H590*I590</f>
        <v>20648</v>
      </c>
      <c r="L590" s="25" t="n">
        <f aca="false">H590*(I590-J590)</f>
        <v>10788</v>
      </c>
    </row>
    <row r="591" customFormat="false" ht="15" hidden="false" customHeight="false" outlineLevel="0" collapsed="false">
      <c r="A591" s="21" t="s">
        <v>657</v>
      </c>
      <c r="B591" s="22" t="n">
        <v>46245</v>
      </c>
      <c r="C591" s="23" t="n">
        <f aca="false">YEAR(B591)</f>
        <v>2026</v>
      </c>
      <c r="D591" s="23" t="n">
        <f aca="false">MONTH(B591)</f>
        <v>8</v>
      </c>
      <c r="E591" s="21" t="s">
        <v>43</v>
      </c>
      <c r="F591" s="21" t="s">
        <v>44</v>
      </c>
      <c r="G591" s="21" t="s">
        <v>45</v>
      </c>
      <c r="H591" s="24" t="n">
        <v>4</v>
      </c>
      <c r="I591" s="24" t="n">
        <v>4320</v>
      </c>
      <c r="J591" s="24" t="n">
        <v>2800</v>
      </c>
      <c r="K591" s="25" t="n">
        <f aca="false">H591*I591</f>
        <v>17280</v>
      </c>
      <c r="L591" s="25" t="n">
        <f aca="false">H591*(I591-J591)</f>
        <v>6080</v>
      </c>
    </row>
    <row r="592" customFormat="false" ht="15" hidden="false" customHeight="false" outlineLevel="0" collapsed="false">
      <c r="A592" s="21" t="s">
        <v>658</v>
      </c>
      <c r="B592" s="22" t="n">
        <v>46245</v>
      </c>
      <c r="C592" s="23" t="n">
        <f aca="false">YEAR(B592)</f>
        <v>2026</v>
      </c>
      <c r="D592" s="23" t="n">
        <f aca="false">MONTH(B592)</f>
        <v>8</v>
      </c>
      <c r="E592" s="21" t="s">
        <v>43</v>
      </c>
      <c r="F592" s="21" t="s">
        <v>62</v>
      </c>
      <c r="G592" s="21" t="s">
        <v>72</v>
      </c>
      <c r="H592" s="24" t="n">
        <v>5</v>
      </c>
      <c r="I592" s="24" t="n">
        <v>7490</v>
      </c>
      <c r="J592" s="24" t="n">
        <v>4800</v>
      </c>
      <c r="K592" s="25" t="n">
        <f aca="false">H592*I592</f>
        <v>37450</v>
      </c>
      <c r="L592" s="25" t="n">
        <f aca="false">H592*(I592-J592)</f>
        <v>13450</v>
      </c>
    </row>
    <row r="593" customFormat="false" ht="15" hidden="false" customHeight="false" outlineLevel="0" collapsed="false">
      <c r="A593" s="21" t="s">
        <v>659</v>
      </c>
      <c r="B593" s="22" t="n">
        <v>46246</v>
      </c>
      <c r="C593" s="23" t="n">
        <f aca="false">YEAR(B593)</f>
        <v>2026</v>
      </c>
      <c r="D593" s="23" t="n">
        <f aca="false">MONTH(B593)</f>
        <v>8</v>
      </c>
      <c r="E593" s="21" t="s">
        <v>48</v>
      </c>
      <c r="F593" s="21" t="s">
        <v>44</v>
      </c>
      <c r="G593" s="21" t="s">
        <v>69</v>
      </c>
      <c r="H593" s="24" t="n">
        <v>4</v>
      </c>
      <c r="I593" s="24" t="n">
        <v>21570</v>
      </c>
      <c r="J593" s="24" t="n">
        <v>15500</v>
      </c>
      <c r="K593" s="25" t="n">
        <f aca="false">H593*I593</f>
        <v>86280</v>
      </c>
      <c r="L593" s="25" t="n">
        <f aca="false">H593*(I593-J593)</f>
        <v>24280</v>
      </c>
    </row>
    <row r="594" customFormat="false" ht="15" hidden="false" customHeight="false" outlineLevel="0" collapsed="false">
      <c r="A594" s="21" t="s">
        <v>660</v>
      </c>
      <c r="B594" s="22" t="n">
        <v>46247</v>
      </c>
      <c r="C594" s="23" t="n">
        <f aca="false">YEAR(B594)</f>
        <v>2026</v>
      </c>
      <c r="D594" s="23" t="n">
        <f aca="false">MONTH(B594)</f>
        <v>8</v>
      </c>
      <c r="E594" s="21" t="s">
        <v>43</v>
      </c>
      <c r="F594" s="21" t="s">
        <v>62</v>
      </c>
      <c r="G594" s="21" t="s">
        <v>72</v>
      </c>
      <c r="H594" s="24" t="n">
        <v>4</v>
      </c>
      <c r="I594" s="24" t="n">
        <v>7090</v>
      </c>
      <c r="J594" s="24" t="n">
        <v>4800</v>
      </c>
      <c r="K594" s="25" t="n">
        <f aca="false">H594*I594</f>
        <v>28360</v>
      </c>
      <c r="L594" s="25" t="n">
        <f aca="false">H594*(I594-J594)</f>
        <v>9160</v>
      </c>
    </row>
    <row r="595" customFormat="false" ht="15" hidden="false" customHeight="false" outlineLevel="0" collapsed="false">
      <c r="A595" s="21" t="s">
        <v>661</v>
      </c>
      <c r="B595" s="22" t="n">
        <v>46247</v>
      </c>
      <c r="C595" s="23" t="n">
        <f aca="false">YEAR(B595)</f>
        <v>2026</v>
      </c>
      <c r="D595" s="23" t="n">
        <f aca="false">MONTH(B595)</f>
        <v>8</v>
      </c>
      <c r="E595" s="21" t="s">
        <v>61</v>
      </c>
      <c r="F595" s="21" t="s">
        <v>44</v>
      </c>
      <c r="G595" s="21" t="s">
        <v>45</v>
      </c>
      <c r="H595" s="24" t="n">
        <v>10</v>
      </c>
      <c r="I595" s="24" t="n">
        <v>4310</v>
      </c>
      <c r="J595" s="24" t="n">
        <v>2800</v>
      </c>
      <c r="K595" s="25" t="n">
        <f aca="false">H595*I595</f>
        <v>43100</v>
      </c>
      <c r="L595" s="25" t="n">
        <f aca="false">H595*(I595-J595)</f>
        <v>15100</v>
      </c>
    </row>
    <row r="596" customFormat="false" ht="15" hidden="false" customHeight="false" outlineLevel="0" collapsed="false">
      <c r="A596" s="21" t="s">
        <v>662</v>
      </c>
      <c r="B596" s="22" t="n">
        <v>46247</v>
      </c>
      <c r="C596" s="23" t="n">
        <f aca="false">YEAR(B596)</f>
        <v>2026</v>
      </c>
      <c r="D596" s="23" t="n">
        <f aca="false">MONTH(B596)</f>
        <v>8</v>
      </c>
      <c r="E596" s="21" t="s">
        <v>76</v>
      </c>
      <c r="F596" s="21" t="s">
        <v>65</v>
      </c>
      <c r="G596" s="21" t="s">
        <v>66</v>
      </c>
      <c r="H596" s="24" t="n">
        <v>2</v>
      </c>
      <c r="I596" s="24" t="n">
        <v>4990</v>
      </c>
      <c r="J596" s="24" t="n">
        <v>1900</v>
      </c>
      <c r="K596" s="25" t="n">
        <f aca="false">H596*I596</f>
        <v>9980</v>
      </c>
      <c r="L596" s="25" t="n">
        <f aca="false">H596*(I596-J596)</f>
        <v>6180</v>
      </c>
    </row>
    <row r="597" customFormat="false" ht="15" hidden="false" customHeight="false" outlineLevel="0" collapsed="false">
      <c r="A597" s="21" t="s">
        <v>663</v>
      </c>
      <c r="B597" s="22" t="n">
        <v>46251</v>
      </c>
      <c r="C597" s="23" t="n">
        <f aca="false">YEAR(B597)</f>
        <v>2026</v>
      </c>
      <c r="D597" s="23" t="n">
        <f aca="false">MONTH(B597)</f>
        <v>8</v>
      </c>
      <c r="E597" s="21" t="s">
        <v>48</v>
      </c>
      <c r="F597" s="21" t="s">
        <v>57</v>
      </c>
      <c r="G597" s="21" t="s">
        <v>74</v>
      </c>
      <c r="H597" s="24" t="n">
        <v>79</v>
      </c>
      <c r="I597" s="24" t="n">
        <v>360</v>
      </c>
      <c r="J597" s="24" t="n">
        <v>170</v>
      </c>
      <c r="K597" s="25" t="n">
        <f aca="false">H597*I597</f>
        <v>28440</v>
      </c>
      <c r="L597" s="25" t="n">
        <f aca="false">H597*(I597-J597)</f>
        <v>15010</v>
      </c>
    </row>
    <row r="598" customFormat="false" ht="15" hidden="false" customHeight="false" outlineLevel="0" collapsed="false">
      <c r="A598" s="21" t="s">
        <v>664</v>
      </c>
      <c r="B598" s="22" t="n">
        <v>46252</v>
      </c>
      <c r="C598" s="23" t="n">
        <f aca="false">YEAR(B598)</f>
        <v>2026</v>
      </c>
      <c r="D598" s="23" t="n">
        <f aca="false">MONTH(B598)</f>
        <v>8</v>
      </c>
      <c r="E598" s="21" t="s">
        <v>76</v>
      </c>
      <c r="F598" s="21" t="s">
        <v>62</v>
      </c>
      <c r="G598" s="21" t="s">
        <v>92</v>
      </c>
      <c r="H598" s="24" t="n">
        <v>3</v>
      </c>
      <c r="I598" s="24" t="n">
        <v>13620</v>
      </c>
      <c r="J598" s="24" t="n">
        <v>9000</v>
      </c>
      <c r="K598" s="25" t="n">
        <f aca="false">H598*I598</f>
        <v>40860</v>
      </c>
      <c r="L598" s="25" t="n">
        <f aca="false">H598*(I598-J598)</f>
        <v>13860</v>
      </c>
    </row>
    <row r="599" customFormat="false" ht="15" hidden="false" customHeight="false" outlineLevel="0" collapsed="false">
      <c r="A599" s="21" t="s">
        <v>665</v>
      </c>
      <c r="B599" s="22" t="n">
        <v>46257</v>
      </c>
      <c r="C599" s="23" t="n">
        <f aca="false">YEAR(B599)</f>
        <v>2026</v>
      </c>
      <c r="D599" s="23" t="n">
        <f aca="false">MONTH(B599)</f>
        <v>8</v>
      </c>
      <c r="E599" s="21" t="s">
        <v>48</v>
      </c>
      <c r="F599" s="21" t="s">
        <v>44</v>
      </c>
      <c r="G599" s="21" t="s">
        <v>45</v>
      </c>
      <c r="H599" s="24" t="n">
        <v>5</v>
      </c>
      <c r="I599" s="24" t="n">
        <v>4200</v>
      </c>
      <c r="J599" s="24" t="n">
        <v>2800</v>
      </c>
      <c r="K599" s="25" t="n">
        <f aca="false">H599*I599</f>
        <v>21000</v>
      </c>
      <c r="L599" s="25" t="n">
        <f aca="false">H599*(I599-J599)</f>
        <v>7000</v>
      </c>
    </row>
    <row r="600" customFormat="false" ht="15" hidden="false" customHeight="false" outlineLevel="0" collapsed="false">
      <c r="A600" s="21" t="s">
        <v>666</v>
      </c>
      <c r="B600" s="22" t="n">
        <v>46258</v>
      </c>
      <c r="C600" s="23" t="n">
        <f aca="false">YEAR(B600)</f>
        <v>2026</v>
      </c>
      <c r="D600" s="23" t="n">
        <f aca="false">MONTH(B600)</f>
        <v>8</v>
      </c>
      <c r="E600" s="21" t="s">
        <v>48</v>
      </c>
      <c r="F600" s="21" t="s">
        <v>65</v>
      </c>
      <c r="G600" s="21" t="s">
        <v>81</v>
      </c>
      <c r="H600" s="24" t="n">
        <v>16</v>
      </c>
      <c r="I600" s="24" t="n">
        <v>9390</v>
      </c>
      <c r="J600" s="24" t="n">
        <v>2500</v>
      </c>
      <c r="K600" s="25" t="n">
        <f aca="false">H600*I600</f>
        <v>150240</v>
      </c>
      <c r="L600" s="25" t="n">
        <f aca="false">H600*(I600-J600)</f>
        <v>110240</v>
      </c>
    </row>
    <row r="601" customFormat="false" ht="15" hidden="false" customHeight="false" outlineLevel="0" collapsed="false">
      <c r="A601" s="21" t="s">
        <v>667</v>
      </c>
      <c r="B601" s="22" t="n">
        <v>46258</v>
      </c>
      <c r="C601" s="23" t="n">
        <f aca="false">YEAR(B601)</f>
        <v>2026</v>
      </c>
      <c r="D601" s="23" t="n">
        <f aca="false">MONTH(B601)</f>
        <v>8</v>
      </c>
      <c r="E601" s="21" t="s">
        <v>61</v>
      </c>
      <c r="F601" s="21" t="s">
        <v>57</v>
      </c>
      <c r="G601" s="21" t="s">
        <v>74</v>
      </c>
      <c r="H601" s="24" t="n">
        <v>30</v>
      </c>
      <c r="I601" s="24" t="n">
        <v>336</v>
      </c>
      <c r="J601" s="24" t="n">
        <v>170</v>
      </c>
      <c r="K601" s="25" t="n">
        <f aca="false">H601*I601</f>
        <v>10080</v>
      </c>
      <c r="L601" s="25" t="n">
        <f aca="false">H601*(I601-J601)</f>
        <v>4980</v>
      </c>
    </row>
    <row r="602" customFormat="false" ht="15" hidden="false" customHeight="false" outlineLevel="0" collapsed="false">
      <c r="A602" s="21" t="s">
        <v>668</v>
      </c>
      <c r="B602" s="22" t="n">
        <v>46260</v>
      </c>
      <c r="C602" s="23" t="n">
        <f aca="false">YEAR(B602)</f>
        <v>2026</v>
      </c>
      <c r="D602" s="23" t="n">
        <f aca="false">MONTH(B602)</f>
        <v>8</v>
      </c>
      <c r="E602" s="21" t="s">
        <v>48</v>
      </c>
      <c r="F602" s="21" t="s">
        <v>57</v>
      </c>
      <c r="G602" s="21" t="s">
        <v>58</v>
      </c>
      <c r="H602" s="24" t="n">
        <v>30</v>
      </c>
      <c r="I602" s="24" t="n">
        <v>1860</v>
      </c>
      <c r="J602" s="24" t="n">
        <v>1250</v>
      </c>
      <c r="K602" s="25" t="n">
        <f aca="false">H602*I602</f>
        <v>55800</v>
      </c>
      <c r="L602" s="25" t="n">
        <f aca="false">H602*(I602-J602)</f>
        <v>18300</v>
      </c>
    </row>
    <row r="603" customFormat="false" ht="15" hidden="false" customHeight="false" outlineLevel="0" collapsed="false">
      <c r="A603" s="21" t="s">
        <v>669</v>
      </c>
      <c r="B603" s="22" t="n">
        <v>46260</v>
      </c>
      <c r="C603" s="23" t="n">
        <f aca="false">YEAR(B603)</f>
        <v>2026</v>
      </c>
      <c r="D603" s="23" t="n">
        <f aca="false">MONTH(B603)</f>
        <v>8</v>
      </c>
      <c r="E603" s="21" t="s">
        <v>61</v>
      </c>
      <c r="F603" s="21" t="s">
        <v>44</v>
      </c>
      <c r="G603" s="21" t="s">
        <v>49</v>
      </c>
      <c r="H603" s="24" t="n">
        <v>1</v>
      </c>
      <c r="I603" s="24" t="n">
        <v>61590</v>
      </c>
      <c r="J603" s="24" t="n">
        <v>48000</v>
      </c>
      <c r="K603" s="25" t="n">
        <f aca="false">H603*I603</f>
        <v>61590</v>
      </c>
      <c r="L603" s="25" t="n">
        <f aca="false">H603*(I603-J603)</f>
        <v>13590</v>
      </c>
    </row>
    <row r="604" customFormat="false" ht="15" hidden="false" customHeight="false" outlineLevel="0" collapsed="false">
      <c r="A604" s="21" t="s">
        <v>670</v>
      </c>
      <c r="B604" s="22" t="n">
        <v>46261</v>
      </c>
      <c r="C604" s="23" t="n">
        <f aca="false">YEAR(B604)</f>
        <v>2026</v>
      </c>
      <c r="D604" s="23" t="n">
        <f aca="false">MONTH(B604)</f>
        <v>8</v>
      </c>
      <c r="E604" s="21" t="s">
        <v>48</v>
      </c>
      <c r="F604" s="21" t="s">
        <v>65</v>
      </c>
      <c r="G604" s="21" t="s">
        <v>66</v>
      </c>
      <c r="H604" s="24" t="n">
        <v>7</v>
      </c>
      <c r="I604" s="24" t="n">
        <v>4560</v>
      </c>
      <c r="J604" s="24" t="n">
        <v>1900</v>
      </c>
      <c r="K604" s="25" t="n">
        <f aca="false">H604*I604</f>
        <v>31920</v>
      </c>
      <c r="L604" s="25" t="n">
        <f aca="false">H604*(I604-J604)</f>
        <v>18620</v>
      </c>
    </row>
    <row r="605" customFormat="false" ht="15" hidden="false" customHeight="false" outlineLevel="0" collapsed="false">
      <c r="A605" s="21" t="s">
        <v>671</v>
      </c>
      <c r="B605" s="22" t="n">
        <v>46262</v>
      </c>
      <c r="C605" s="23" t="n">
        <f aca="false">YEAR(B605)</f>
        <v>2026</v>
      </c>
      <c r="D605" s="23" t="n">
        <f aca="false">MONTH(B605)</f>
        <v>8</v>
      </c>
      <c r="E605" s="21" t="s">
        <v>56</v>
      </c>
      <c r="F605" s="21" t="s">
        <v>57</v>
      </c>
      <c r="G605" s="21" t="s">
        <v>78</v>
      </c>
      <c r="H605" s="24" t="n">
        <v>54</v>
      </c>
      <c r="I605" s="24" t="n">
        <v>641</v>
      </c>
      <c r="J605" s="24" t="n">
        <v>320</v>
      </c>
      <c r="K605" s="25" t="n">
        <f aca="false">H605*I605</f>
        <v>34614</v>
      </c>
      <c r="L605" s="25" t="n">
        <f aca="false">H605*(I605-J605)</f>
        <v>17334</v>
      </c>
    </row>
    <row r="606" customFormat="false" ht="15" hidden="false" customHeight="false" outlineLevel="0" collapsed="false">
      <c r="A606" s="21" t="s">
        <v>672</v>
      </c>
      <c r="B606" s="22" t="n">
        <v>46263</v>
      </c>
      <c r="C606" s="23" t="n">
        <f aca="false">YEAR(B606)</f>
        <v>2026</v>
      </c>
      <c r="D606" s="23" t="n">
        <f aca="false">MONTH(B606)</f>
        <v>8</v>
      </c>
      <c r="E606" s="21" t="s">
        <v>56</v>
      </c>
      <c r="F606" s="21" t="s">
        <v>57</v>
      </c>
      <c r="G606" s="21" t="s">
        <v>78</v>
      </c>
      <c r="H606" s="24" t="n">
        <v>32</v>
      </c>
      <c r="I606" s="24" t="n">
        <v>679</v>
      </c>
      <c r="J606" s="24" t="n">
        <v>320</v>
      </c>
      <c r="K606" s="25" t="n">
        <f aca="false">H606*I606</f>
        <v>21728</v>
      </c>
      <c r="L606" s="25" t="n">
        <f aca="false">H606*(I606-J606)</f>
        <v>11488</v>
      </c>
    </row>
    <row r="607" customFormat="false" ht="15" hidden="false" customHeight="false" outlineLevel="0" collapsed="false">
      <c r="A607" s="21" t="s">
        <v>673</v>
      </c>
      <c r="B607" s="22" t="n">
        <v>46263</v>
      </c>
      <c r="C607" s="23" t="n">
        <f aca="false">YEAR(B607)</f>
        <v>2026</v>
      </c>
      <c r="D607" s="23" t="n">
        <f aca="false">MONTH(B607)</f>
        <v>8</v>
      </c>
      <c r="E607" s="21" t="s">
        <v>76</v>
      </c>
      <c r="F607" s="21" t="s">
        <v>57</v>
      </c>
      <c r="G607" s="21" t="s">
        <v>78</v>
      </c>
      <c r="H607" s="24" t="n">
        <v>22</v>
      </c>
      <c r="I607" s="24" t="n">
        <v>672</v>
      </c>
      <c r="J607" s="24" t="n">
        <v>320</v>
      </c>
      <c r="K607" s="25" t="n">
        <f aca="false">H607*I607</f>
        <v>14784</v>
      </c>
      <c r="L607" s="25" t="n">
        <f aca="false">H607*(I607-J607)</f>
        <v>7744</v>
      </c>
    </row>
    <row r="608" customFormat="false" ht="15" hidden="false" customHeight="false" outlineLevel="0" collapsed="false">
      <c r="A608" s="21" t="s">
        <v>674</v>
      </c>
      <c r="B608" s="22" t="n">
        <v>46264</v>
      </c>
      <c r="C608" s="23" t="n">
        <f aca="false">YEAR(B608)</f>
        <v>2026</v>
      </c>
      <c r="D608" s="23" t="n">
        <f aca="false">MONTH(B608)</f>
        <v>8</v>
      </c>
      <c r="E608" s="21" t="s">
        <v>61</v>
      </c>
      <c r="F608" s="21" t="s">
        <v>65</v>
      </c>
      <c r="G608" s="21" t="s">
        <v>81</v>
      </c>
      <c r="H608" s="24" t="n">
        <v>18</v>
      </c>
      <c r="I608" s="24" t="n">
        <v>9160</v>
      </c>
      <c r="J608" s="24" t="n">
        <v>2500</v>
      </c>
      <c r="K608" s="25" t="n">
        <f aca="false">H608*I608</f>
        <v>164880</v>
      </c>
      <c r="L608" s="25" t="n">
        <f aca="false">H608*(I608-J608)</f>
        <v>119880</v>
      </c>
    </row>
    <row r="609" customFormat="false" ht="15" hidden="false" customHeight="false" outlineLevel="0" collapsed="false">
      <c r="A609" s="21" t="s">
        <v>675</v>
      </c>
      <c r="B609" s="22" t="n">
        <v>46265</v>
      </c>
      <c r="C609" s="23" t="n">
        <f aca="false">YEAR(B609)</f>
        <v>2026</v>
      </c>
      <c r="D609" s="23" t="n">
        <f aca="false">MONTH(B609)</f>
        <v>8</v>
      </c>
      <c r="E609" s="21" t="s">
        <v>43</v>
      </c>
      <c r="F609" s="21" t="s">
        <v>57</v>
      </c>
      <c r="G609" s="21" t="s">
        <v>78</v>
      </c>
      <c r="H609" s="24" t="n">
        <v>24</v>
      </c>
      <c r="I609" s="24" t="n">
        <v>657</v>
      </c>
      <c r="J609" s="24" t="n">
        <v>320</v>
      </c>
      <c r="K609" s="25" t="n">
        <f aca="false">H609*I609</f>
        <v>15768</v>
      </c>
      <c r="L609" s="25" t="n">
        <f aca="false">H609*(I609-J609)</f>
        <v>8088</v>
      </c>
    </row>
    <row r="610" customFormat="false" ht="15" hidden="false" customHeight="false" outlineLevel="0" collapsed="false">
      <c r="A610" s="21" t="s">
        <v>676</v>
      </c>
      <c r="B610" s="22" t="n">
        <v>46265</v>
      </c>
      <c r="C610" s="23" t="n">
        <f aca="false">YEAR(B610)</f>
        <v>2026</v>
      </c>
      <c r="D610" s="23" t="n">
        <f aca="false">MONTH(B610)</f>
        <v>8</v>
      </c>
      <c r="E610" s="21" t="s">
        <v>48</v>
      </c>
      <c r="F610" s="21" t="s">
        <v>44</v>
      </c>
      <c r="G610" s="21" t="s">
        <v>49</v>
      </c>
      <c r="H610" s="24" t="n">
        <v>2</v>
      </c>
      <c r="I610" s="24" t="n">
        <v>63920</v>
      </c>
      <c r="J610" s="24" t="n">
        <v>48000</v>
      </c>
      <c r="K610" s="25" t="n">
        <f aca="false">H610*I610</f>
        <v>127840</v>
      </c>
      <c r="L610" s="25" t="n">
        <f aca="false">H610*(I610-J610)</f>
        <v>31840</v>
      </c>
    </row>
    <row r="611" customFormat="false" ht="15" hidden="false" customHeight="false" outlineLevel="0" collapsed="false">
      <c r="A611" s="21" t="s">
        <v>677</v>
      </c>
      <c r="B611" s="22" t="n">
        <v>46266</v>
      </c>
      <c r="C611" s="23" t="n">
        <f aca="false">YEAR(B611)</f>
        <v>2026</v>
      </c>
      <c r="D611" s="23" t="n">
        <f aca="false">MONTH(B611)</f>
        <v>9</v>
      </c>
      <c r="E611" s="21" t="s">
        <v>43</v>
      </c>
      <c r="F611" s="21" t="s">
        <v>44</v>
      </c>
      <c r="G611" s="21" t="s">
        <v>45</v>
      </c>
      <c r="H611" s="24" t="n">
        <v>4</v>
      </c>
      <c r="I611" s="24" t="n">
        <v>4640</v>
      </c>
      <c r="J611" s="24" t="n">
        <v>2800</v>
      </c>
      <c r="K611" s="25" t="n">
        <f aca="false">H611*I611</f>
        <v>18560</v>
      </c>
      <c r="L611" s="25" t="n">
        <f aca="false">H611*(I611-J611)</f>
        <v>7360</v>
      </c>
    </row>
    <row r="612" customFormat="false" ht="15" hidden="false" customHeight="false" outlineLevel="0" collapsed="false">
      <c r="A612" s="21" t="s">
        <v>678</v>
      </c>
      <c r="B612" s="22" t="n">
        <v>46267</v>
      </c>
      <c r="C612" s="23" t="n">
        <f aca="false">YEAR(B612)</f>
        <v>2026</v>
      </c>
      <c r="D612" s="23" t="n">
        <f aca="false">MONTH(B612)</f>
        <v>9</v>
      </c>
      <c r="E612" s="21" t="s">
        <v>48</v>
      </c>
      <c r="F612" s="21" t="s">
        <v>65</v>
      </c>
      <c r="G612" s="21" t="s">
        <v>81</v>
      </c>
      <c r="H612" s="24" t="n">
        <v>1</v>
      </c>
      <c r="I612" s="24" t="n">
        <v>8990</v>
      </c>
      <c r="J612" s="24" t="n">
        <v>2500</v>
      </c>
      <c r="K612" s="25" t="n">
        <f aca="false">H612*I612</f>
        <v>8990</v>
      </c>
      <c r="L612" s="25" t="n">
        <f aca="false">H612*(I612-J612)</f>
        <v>6490</v>
      </c>
    </row>
    <row r="613" customFormat="false" ht="15" hidden="false" customHeight="false" outlineLevel="0" collapsed="false">
      <c r="A613" s="21" t="s">
        <v>679</v>
      </c>
      <c r="B613" s="22" t="n">
        <v>46269</v>
      </c>
      <c r="C613" s="23" t="n">
        <f aca="false">YEAR(B613)</f>
        <v>2026</v>
      </c>
      <c r="D613" s="23" t="n">
        <f aca="false">MONTH(B613)</f>
        <v>9</v>
      </c>
      <c r="E613" s="21" t="s">
        <v>43</v>
      </c>
      <c r="F613" s="21" t="s">
        <v>57</v>
      </c>
      <c r="G613" s="21" t="s">
        <v>74</v>
      </c>
      <c r="H613" s="24" t="n">
        <v>24</v>
      </c>
      <c r="I613" s="24" t="n">
        <v>362</v>
      </c>
      <c r="J613" s="24" t="n">
        <v>170</v>
      </c>
      <c r="K613" s="25" t="n">
        <f aca="false">H613*I613</f>
        <v>8688</v>
      </c>
      <c r="L613" s="25" t="n">
        <f aca="false">H613*(I613-J613)</f>
        <v>4608</v>
      </c>
    </row>
    <row r="614" customFormat="false" ht="15" hidden="false" customHeight="false" outlineLevel="0" collapsed="false">
      <c r="A614" s="21" t="s">
        <v>680</v>
      </c>
      <c r="B614" s="22" t="n">
        <v>46270</v>
      </c>
      <c r="C614" s="23" t="n">
        <f aca="false">YEAR(B614)</f>
        <v>2026</v>
      </c>
      <c r="D614" s="23" t="n">
        <f aca="false">MONTH(B614)</f>
        <v>9</v>
      </c>
      <c r="E614" s="21" t="s">
        <v>61</v>
      </c>
      <c r="F614" s="21" t="s">
        <v>65</v>
      </c>
      <c r="G614" s="21" t="s">
        <v>89</v>
      </c>
      <c r="H614" s="24" t="n">
        <v>13</v>
      </c>
      <c r="I614" s="24" t="n">
        <v>1810</v>
      </c>
      <c r="J614" s="24" t="n">
        <v>500</v>
      </c>
      <c r="K614" s="25" t="n">
        <f aca="false">H614*I614</f>
        <v>23530</v>
      </c>
      <c r="L614" s="25" t="n">
        <f aca="false">H614*(I614-J614)</f>
        <v>17030</v>
      </c>
    </row>
    <row r="615" customFormat="false" ht="15" hidden="false" customHeight="false" outlineLevel="0" collapsed="false">
      <c r="A615" s="21" t="s">
        <v>681</v>
      </c>
      <c r="B615" s="22" t="n">
        <v>46271</v>
      </c>
      <c r="C615" s="23" t="n">
        <f aca="false">YEAR(B615)</f>
        <v>2026</v>
      </c>
      <c r="D615" s="23" t="n">
        <f aca="false">MONTH(B615)</f>
        <v>9</v>
      </c>
      <c r="E615" s="21" t="s">
        <v>76</v>
      </c>
      <c r="F615" s="21" t="s">
        <v>57</v>
      </c>
      <c r="G615" s="21" t="s">
        <v>58</v>
      </c>
      <c r="H615" s="24" t="n">
        <v>15</v>
      </c>
      <c r="I615" s="24" t="n">
        <v>1730</v>
      </c>
      <c r="J615" s="24" t="n">
        <v>1250</v>
      </c>
      <c r="K615" s="25" t="n">
        <f aca="false">H615*I615</f>
        <v>25950</v>
      </c>
      <c r="L615" s="25" t="n">
        <f aca="false">H615*(I615-J615)</f>
        <v>7200</v>
      </c>
    </row>
    <row r="616" customFormat="false" ht="15" hidden="false" customHeight="false" outlineLevel="0" collapsed="false">
      <c r="A616" s="21" t="s">
        <v>682</v>
      </c>
      <c r="B616" s="22" t="n">
        <v>46271</v>
      </c>
      <c r="C616" s="23" t="n">
        <f aca="false">YEAR(B616)</f>
        <v>2026</v>
      </c>
      <c r="D616" s="23" t="n">
        <f aca="false">MONTH(B616)</f>
        <v>9</v>
      </c>
      <c r="E616" s="21" t="s">
        <v>43</v>
      </c>
      <c r="F616" s="21" t="s">
        <v>44</v>
      </c>
      <c r="G616" s="21" t="s">
        <v>45</v>
      </c>
      <c r="H616" s="24" t="n">
        <v>8</v>
      </c>
      <c r="I616" s="24" t="n">
        <v>4580</v>
      </c>
      <c r="J616" s="24" t="n">
        <v>2800</v>
      </c>
      <c r="K616" s="25" t="n">
        <f aca="false">H616*I616</f>
        <v>36640</v>
      </c>
      <c r="L616" s="25" t="n">
        <f aca="false">H616*(I616-J616)</f>
        <v>14240</v>
      </c>
    </row>
    <row r="617" customFormat="false" ht="15" hidden="false" customHeight="false" outlineLevel="0" collapsed="false">
      <c r="A617" s="21" t="s">
        <v>683</v>
      </c>
      <c r="B617" s="22" t="n">
        <v>46273</v>
      </c>
      <c r="C617" s="23" t="n">
        <f aca="false">YEAR(B617)</f>
        <v>2026</v>
      </c>
      <c r="D617" s="23" t="n">
        <f aca="false">MONTH(B617)</f>
        <v>9</v>
      </c>
      <c r="E617" s="21" t="s">
        <v>56</v>
      </c>
      <c r="F617" s="21" t="s">
        <v>65</v>
      </c>
      <c r="G617" s="21" t="s">
        <v>66</v>
      </c>
      <c r="H617" s="24" t="n">
        <v>7</v>
      </c>
      <c r="I617" s="24" t="n">
        <v>4840</v>
      </c>
      <c r="J617" s="24" t="n">
        <v>1900</v>
      </c>
      <c r="K617" s="25" t="n">
        <f aca="false">H617*I617</f>
        <v>33880</v>
      </c>
      <c r="L617" s="25" t="n">
        <f aca="false">H617*(I617-J617)</f>
        <v>20580</v>
      </c>
    </row>
    <row r="618" customFormat="false" ht="15" hidden="false" customHeight="false" outlineLevel="0" collapsed="false">
      <c r="A618" s="21" t="s">
        <v>684</v>
      </c>
      <c r="B618" s="22" t="n">
        <v>46273</v>
      </c>
      <c r="C618" s="23" t="n">
        <f aca="false">YEAR(B618)</f>
        <v>2026</v>
      </c>
      <c r="D618" s="23" t="n">
        <f aca="false">MONTH(B618)</f>
        <v>9</v>
      </c>
      <c r="E618" s="21" t="s">
        <v>61</v>
      </c>
      <c r="F618" s="21" t="s">
        <v>57</v>
      </c>
      <c r="G618" s="21" t="s">
        <v>78</v>
      </c>
      <c r="H618" s="24" t="n">
        <v>49</v>
      </c>
      <c r="I618" s="24" t="n">
        <v>669</v>
      </c>
      <c r="J618" s="24" t="n">
        <v>320</v>
      </c>
      <c r="K618" s="25" t="n">
        <f aca="false">H618*I618</f>
        <v>32781</v>
      </c>
      <c r="L618" s="25" t="n">
        <f aca="false">H618*(I618-J618)</f>
        <v>17101</v>
      </c>
    </row>
    <row r="619" customFormat="false" ht="15" hidden="false" customHeight="false" outlineLevel="0" collapsed="false">
      <c r="A619" s="21" t="s">
        <v>685</v>
      </c>
      <c r="B619" s="22" t="n">
        <v>46274</v>
      </c>
      <c r="C619" s="23" t="n">
        <f aca="false">YEAR(B619)</f>
        <v>2026</v>
      </c>
      <c r="D619" s="23" t="n">
        <f aca="false">MONTH(B619)</f>
        <v>9</v>
      </c>
      <c r="E619" s="21" t="s">
        <v>76</v>
      </c>
      <c r="F619" s="21" t="s">
        <v>44</v>
      </c>
      <c r="G619" s="21" t="s">
        <v>69</v>
      </c>
      <c r="H619" s="24" t="n">
        <v>2</v>
      </c>
      <c r="I619" s="24" t="n">
        <v>20400</v>
      </c>
      <c r="J619" s="24" t="n">
        <v>15500</v>
      </c>
      <c r="K619" s="25" t="n">
        <f aca="false">H619*I619</f>
        <v>40800</v>
      </c>
      <c r="L619" s="25" t="n">
        <f aca="false">H619*(I619-J619)</f>
        <v>9800</v>
      </c>
    </row>
    <row r="620" customFormat="false" ht="15" hidden="false" customHeight="false" outlineLevel="0" collapsed="false">
      <c r="A620" s="21" t="s">
        <v>686</v>
      </c>
      <c r="B620" s="22" t="n">
        <v>46274</v>
      </c>
      <c r="C620" s="23" t="n">
        <f aca="false">YEAR(B620)</f>
        <v>2026</v>
      </c>
      <c r="D620" s="23" t="n">
        <f aca="false">MONTH(B620)</f>
        <v>9</v>
      </c>
      <c r="E620" s="21" t="s">
        <v>48</v>
      </c>
      <c r="F620" s="21" t="s">
        <v>57</v>
      </c>
      <c r="G620" s="21" t="s">
        <v>74</v>
      </c>
      <c r="H620" s="24" t="n">
        <v>32</v>
      </c>
      <c r="I620" s="24" t="n">
        <v>358</v>
      </c>
      <c r="J620" s="24" t="n">
        <v>170</v>
      </c>
      <c r="K620" s="25" t="n">
        <f aca="false">H620*I620</f>
        <v>11456</v>
      </c>
      <c r="L620" s="25" t="n">
        <f aca="false">H620*(I620-J620)</f>
        <v>6016</v>
      </c>
    </row>
    <row r="621" customFormat="false" ht="15" hidden="false" customHeight="false" outlineLevel="0" collapsed="false">
      <c r="A621" s="21" t="s">
        <v>687</v>
      </c>
      <c r="B621" s="22" t="n">
        <v>46275</v>
      </c>
      <c r="C621" s="23" t="n">
        <f aca="false">YEAR(B621)</f>
        <v>2026</v>
      </c>
      <c r="D621" s="23" t="n">
        <f aca="false">MONTH(B621)</f>
        <v>9</v>
      </c>
      <c r="E621" s="21" t="s">
        <v>61</v>
      </c>
      <c r="F621" s="21" t="s">
        <v>65</v>
      </c>
      <c r="G621" s="21" t="s">
        <v>66</v>
      </c>
      <c r="H621" s="24" t="n">
        <v>14</v>
      </c>
      <c r="I621" s="24" t="n">
        <v>4910</v>
      </c>
      <c r="J621" s="24" t="n">
        <v>1900</v>
      </c>
      <c r="K621" s="25" t="n">
        <f aca="false">H621*I621</f>
        <v>68740</v>
      </c>
      <c r="L621" s="25" t="n">
        <f aca="false">H621*(I621-J621)</f>
        <v>42140</v>
      </c>
    </row>
    <row r="622" customFormat="false" ht="15" hidden="false" customHeight="false" outlineLevel="0" collapsed="false">
      <c r="A622" s="21" t="s">
        <v>688</v>
      </c>
      <c r="B622" s="22" t="n">
        <v>46275</v>
      </c>
      <c r="C622" s="23" t="n">
        <f aca="false">YEAR(B622)</f>
        <v>2026</v>
      </c>
      <c r="D622" s="23" t="n">
        <f aca="false">MONTH(B622)</f>
        <v>9</v>
      </c>
      <c r="E622" s="21" t="s">
        <v>76</v>
      </c>
      <c r="F622" s="21" t="s">
        <v>57</v>
      </c>
      <c r="G622" s="21" t="s">
        <v>74</v>
      </c>
      <c r="H622" s="24" t="n">
        <v>33</v>
      </c>
      <c r="I622" s="24" t="n">
        <v>354</v>
      </c>
      <c r="J622" s="24" t="n">
        <v>170</v>
      </c>
      <c r="K622" s="25" t="n">
        <f aca="false">H622*I622</f>
        <v>11682</v>
      </c>
      <c r="L622" s="25" t="n">
        <f aca="false">H622*(I622-J622)</f>
        <v>6072</v>
      </c>
    </row>
    <row r="623" customFormat="false" ht="15" hidden="false" customHeight="false" outlineLevel="0" collapsed="false">
      <c r="A623" s="21" t="s">
        <v>689</v>
      </c>
      <c r="B623" s="22" t="n">
        <v>46276</v>
      </c>
      <c r="C623" s="23" t="n">
        <f aca="false">YEAR(B623)</f>
        <v>2026</v>
      </c>
      <c r="D623" s="23" t="n">
        <f aca="false">MONTH(B623)</f>
        <v>9</v>
      </c>
      <c r="E623" s="21" t="s">
        <v>61</v>
      </c>
      <c r="F623" s="21" t="s">
        <v>65</v>
      </c>
      <c r="G623" s="21" t="s">
        <v>89</v>
      </c>
      <c r="H623" s="24" t="n">
        <v>9</v>
      </c>
      <c r="I623" s="24" t="n">
        <v>1800</v>
      </c>
      <c r="J623" s="24" t="n">
        <v>500</v>
      </c>
      <c r="K623" s="25" t="n">
        <f aca="false">H623*I623</f>
        <v>16200</v>
      </c>
      <c r="L623" s="25" t="n">
        <f aca="false">H623*(I623-J623)</f>
        <v>11700</v>
      </c>
    </row>
    <row r="624" customFormat="false" ht="15" hidden="false" customHeight="false" outlineLevel="0" collapsed="false">
      <c r="A624" s="21" t="s">
        <v>690</v>
      </c>
      <c r="B624" s="22" t="n">
        <v>46276</v>
      </c>
      <c r="C624" s="23" t="n">
        <f aca="false">YEAR(B624)</f>
        <v>2026</v>
      </c>
      <c r="D624" s="23" t="n">
        <f aca="false">MONTH(B624)</f>
        <v>9</v>
      </c>
      <c r="E624" s="21" t="s">
        <v>48</v>
      </c>
      <c r="F624" s="21" t="s">
        <v>44</v>
      </c>
      <c r="G624" s="21" t="s">
        <v>45</v>
      </c>
      <c r="H624" s="24" t="n">
        <v>7</v>
      </c>
      <c r="I624" s="24" t="n">
        <v>4550</v>
      </c>
      <c r="J624" s="24" t="n">
        <v>2800</v>
      </c>
      <c r="K624" s="25" t="n">
        <f aca="false">H624*I624</f>
        <v>31850</v>
      </c>
      <c r="L624" s="25" t="n">
        <f aca="false">H624*(I624-J624)</f>
        <v>12250</v>
      </c>
    </row>
    <row r="625" customFormat="false" ht="15" hidden="false" customHeight="false" outlineLevel="0" collapsed="false">
      <c r="A625" s="21" t="s">
        <v>691</v>
      </c>
      <c r="B625" s="22" t="n">
        <v>46277</v>
      </c>
      <c r="C625" s="23" t="n">
        <f aca="false">YEAR(B625)</f>
        <v>2026</v>
      </c>
      <c r="D625" s="23" t="n">
        <f aca="false">MONTH(B625)</f>
        <v>9</v>
      </c>
      <c r="E625" s="21" t="s">
        <v>61</v>
      </c>
      <c r="F625" s="21" t="s">
        <v>44</v>
      </c>
      <c r="G625" s="21" t="s">
        <v>69</v>
      </c>
      <c r="H625" s="24" t="n">
        <v>2</v>
      </c>
      <c r="I625" s="24" t="n">
        <v>21000</v>
      </c>
      <c r="J625" s="24" t="n">
        <v>15500</v>
      </c>
      <c r="K625" s="25" t="n">
        <f aca="false">H625*I625</f>
        <v>42000</v>
      </c>
      <c r="L625" s="25" t="n">
        <f aca="false">H625*(I625-J625)</f>
        <v>11000</v>
      </c>
    </row>
    <row r="626" customFormat="false" ht="15" hidden="false" customHeight="false" outlineLevel="0" collapsed="false">
      <c r="A626" s="21" t="s">
        <v>692</v>
      </c>
      <c r="B626" s="22" t="n">
        <v>46278</v>
      </c>
      <c r="C626" s="23" t="n">
        <f aca="false">YEAR(B626)</f>
        <v>2026</v>
      </c>
      <c r="D626" s="23" t="n">
        <f aca="false">MONTH(B626)</f>
        <v>9</v>
      </c>
      <c r="E626" s="21" t="s">
        <v>56</v>
      </c>
      <c r="F626" s="21" t="s">
        <v>65</v>
      </c>
      <c r="G626" s="21" t="s">
        <v>66</v>
      </c>
      <c r="H626" s="24" t="n">
        <v>23</v>
      </c>
      <c r="I626" s="24" t="n">
        <v>4800</v>
      </c>
      <c r="J626" s="24" t="n">
        <v>1900</v>
      </c>
      <c r="K626" s="25" t="n">
        <f aca="false">H626*I626</f>
        <v>110400</v>
      </c>
      <c r="L626" s="25" t="n">
        <f aca="false">H626*(I626-J626)</f>
        <v>66700</v>
      </c>
    </row>
    <row r="627" customFormat="false" ht="15" hidden="false" customHeight="false" outlineLevel="0" collapsed="false">
      <c r="A627" s="21" t="s">
        <v>693</v>
      </c>
      <c r="B627" s="22" t="n">
        <v>46279</v>
      </c>
      <c r="C627" s="23" t="n">
        <f aca="false">YEAR(B627)</f>
        <v>2026</v>
      </c>
      <c r="D627" s="23" t="n">
        <f aca="false">MONTH(B627)</f>
        <v>9</v>
      </c>
      <c r="E627" s="21" t="s">
        <v>48</v>
      </c>
      <c r="F627" s="21" t="s">
        <v>65</v>
      </c>
      <c r="G627" s="21" t="s">
        <v>89</v>
      </c>
      <c r="H627" s="24" t="n">
        <v>10</v>
      </c>
      <c r="I627" s="24" t="n">
        <v>1720</v>
      </c>
      <c r="J627" s="24" t="n">
        <v>500</v>
      </c>
      <c r="K627" s="25" t="n">
        <f aca="false">H627*I627</f>
        <v>17200</v>
      </c>
      <c r="L627" s="25" t="n">
        <f aca="false">H627*(I627-J627)</f>
        <v>12200</v>
      </c>
    </row>
    <row r="628" customFormat="false" ht="15" hidden="false" customHeight="false" outlineLevel="0" collapsed="false">
      <c r="A628" s="21" t="s">
        <v>694</v>
      </c>
      <c r="B628" s="22" t="n">
        <v>46279</v>
      </c>
      <c r="C628" s="23" t="n">
        <f aca="false">YEAR(B628)</f>
        <v>2026</v>
      </c>
      <c r="D628" s="23" t="n">
        <f aca="false">MONTH(B628)</f>
        <v>9</v>
      </c>
      <c r="E628" s="21" t="s">
        <v>48</v>
      </c>
      <c r="F628" s="21" t="s">
        <v>57</v>
      </c>
      <c r="G628" s="21" t="s">
        <v>58</v>
      </c>
      <c r="H628" s="24" t="n">
        <v>30</v>
      </c>
      <c r="I628" s="24" t="n">
        <v>1700</v>
      </c>
      <c r="J628" s="24" t="n">
        <v>1250</v>
      </c>
      <c r="K628" s="25" t="n">
        <f aca="false">H628*I628</f>
        <v>51000</v>
      </c>
      <c r="L628" s="25" t="n">
        <f aca="false">H628*(I628-J628)</f>
        <v>13500</v>
      </c>
    </row>
    <row r="629" customFormat="false" ht="15" hidden="false" customHeight="false" outlineLevel="0" collapsed="false">
      <c r="A629" s="21" t="s">
        <v>695</v>
      </c>
      <c r="B629" s="22" t="n">
        <v>46280</v>
      </c>
      <c r="C629" s="23" t="n">
        <f aca="false">YEAR(B629)</f>
        <v>2026</v>
      </c>
      <c r="D629" s="23" t="n">
        <f aca="false">MONTH(B629)</f>
        <v>9</v>
      </c>
      <c r="E629" s="21" t="s">
        <v>48</v>
      </c>
      <c r="F629" s="21" t="s">
        <v>44</v>
      </c>
      <c r="G629" s="21" t="s">
        <v>49</v>
      </c>
      <c r="H629" s="24" t="n">
        <v>3</v>
      </c>
      <c r="I629" s="24" t="n">
        <v>60520</v>
      </c>
      <c r="J629" s="24" t="n">
        <v>48000</v>
      </c>
      <c r="K629" s="25" t="n">
        <f aca="false">H629*I629</f>
        <v>181560</v>
      </c>
      <c r="L629" s="25" t="n">
        <f aca="false">H629*(I629-J629)</f>
        <v>37560</v>
      </c>
    </row>
    <row r="630" customFormat="false" ht="15" hidden="false" customHeight="false" outlineLevel="0" collapsed="false">
      <c r="A630" s="21" t="s">
        <v>696</v>
      </c>
      <c r="B630" s="22" t="n">
        <v>46280</v>
      </c>
      <c r="C630" s="23" t="n">
        <f aca="false">YEAR(B630)</f>
        <v>2026</v>
      </c>
      <c r="D630" s="23" t="n">
        <f aca="false">MONTH(B630)</f>
        <v>9</v>
      </c>
      <c r="E630" s="21" t="s">
        <v>48</v>
      </c>
      <c r="F630" s="21" t="s">
        <v>44</v>
      </c>
      <c r="G630" s="21" t="s">
        <v>45</v>
      </c>
      <c r="H630" s="24" t="n">
        <v>8</v>
      </c>
      <c r="I630" s="24" t="n">
        <v>4360</v>
      </c>
      <c r="J630" s="24" t="n">
        <v>2800</v>
      </c>
      <c r="K630" s="25" t="n">
        <f aca="false">H630*I630</f>
        <v>34880</v>
      </c>
      <c r="L630" s="25" t="n">
        <f aca="false">H630*(I630-J630)</f>
        <v>12480</v>
      </c>
    </row>
    <row r="631" customFormat="false" ht="15" hidden="false" customHeight="false" outlineLevel="0" collapsed="false">
      <c r="A631" s="21" t="s">
        <v>697</v>
      </c>
      <c r="B631" s="22" t="n">
        <v>46281</v>
      </c>
      <c r="C631" s="23" t="n">
        <f aca="false">YEAR(B631)</f>
        <v>2026</v>
      </c>
      <c r="D631" s="23" t="n">
        <f aca="false">MONTH(B631)</f>
        <v>9</v>
      </c>
      <c r="E631" s="21" t="s">
        <v>56</v>
      </c>
      <c r="F631" s="21" t="s">
        <v>62</v>
      </c>
      <c r="G631" s="21" t="s">
        <v>63</v>
      </c>
      <c r="H631" s="24" t="n">
        <v>2</v>
      </c>
      <c r="I631" s="24" t="n">
        <v>26540</v>
      </c>
      <c r="J631" s="24" t="n">
        <v>19500</v>
      </c>
      <c r="K631" s="25" t="n">
        <f aca="false">H631*I631</f>
        <v>53080</v>
      </c>
      <c r="L631" s="25" t="n">
        <f aca="false">H631*(I631-J631)</f>
        <v>14080</v>
      </c>
    </row>
    <row r="632" customFormat="false" ht="15" hidden="false" customHeight="false" outlineLevel="0" collapsed="false">
      <c r="A632" s="21" t="s">
        <v>698</v>
      </c>
      <c r="B632" s="22" t="n">
        <v>46281</v>
      </c>
      <c r="C632" s="23" t="n">
        <f aca="false">YEAR(B632)</f>
        <v>2026</v>
      </c>
      <c r="D632" s="23" t="n">
        <f aca="false">MONTH(B632)</f>
        <v>9</v>
      </c>
      <c r="E632" s="21" t="s">
        <v>56</v>
      </c>
      <c r="F632" s="21" t="s">
        <v>44</v>
      </c>
      <c r="G632" s="21" t="s">
        <v>49</v>
      </c>
      <c r="H632" s="24" t="n">
        <v>2</v>
      </c>
      <c r="I632" s="24" t="n">
        <v>57800</v>
      </c>
      <c r="J632" s="24" t="n">
        <v>48000</v>
      </c>
      <c r="K632" s="25" t="n">
        <f aca="false">H632*I632</f>
        <v>115600</v>
      </c>
      <c r="L632" s="25" t="n">
        <f aca="false">H632*(I632-J632)</f>
        <v>19600</v>
      </c>
    </row>
    <row r="633" customFormat="false" ht="15" hidden="false" customHeight="false" outlineLevel="0" collapsed="false">
      <c r="A633" s="21" t="s">
        <v>699</v>
      </c>
      <c r="B633" s="22" t="n">
        <v>46282</v>
      </c>
      <c r="C633" s="23" t="n">
        <f aca="false">YEAR(B633)</f>
        <v>2026</v>
      </c>
      <c r="D633" s="23" t="n">
        <f aca="false">MONTH(B633)</f>
        <v>9</v>
      </c>
      <c r="E633" s="21" t="s">
        <v>43</v>
      </c>
      <c r="F633" s="21" t="s">
        <v>44</v>
      </c>
      <c r="G633" s="21" t="s">
        <v>69</v>
      </c>
      <c r="H633" s="24" t="n">
        <v>3</v>
      </c>
      <c r="I633" s="24" t="n">
        <v>19920</v>
      </c>
      <c r="J633" s="24" t="n">
        <v>15500</v>
      </c>
      <c r="K633" s="25" t="n">
        <f aca="false">H633*I633</f>
        <v>59760</v>
      </c>
      <c r="L633" s="25" t="n">
        <f aca="false">H633*(I633-J633)</f>
        <v>13260</v>
      </c>
    </row>
    <row r="634" customFormat="false" ht="15" hidden="false" customHeight="false" outlineLevel="0" collapsed="false">
      <c r="A634" s="21" t="s">
        <v>700</v>
      </c>
      <c r="B634" s="22" t="n">
        <v>46283</v>
      </c>
      <c r="C634" s="23" t="n">
        <f aca="false">YEAR(B634)</f>
        <v>2026</v>
      </c>
      <c r="D634" s="23" t="n">
        <f aca="false">MONTH(B634)</f>
        <v>9</v>
      </c>
      <c r="E634" s="21" t="s">
        <v>56</v>
      </c>
      <c r="F634" s="21" t="s">
        <v>62</v>
      </c>
      <c r="G634" s="21" t="s">
        <v>63</v>
      </c>
      <c r="H634" s="24" t="n">
        <v>1</v>
      </c>
      <c r="I634" s="24" t="n">
        <v>27080</v>
      </c>
      <c r="J634" s="24" t="n">
        <v>19500</v>
      </c>
      <c r="K634" s="25" t="n">
        <f aca="false">H634*I634</f>
        <v>27080</v>
      </c>
      <c r="L634" s="25" t="n">
        <f aca="false">H634*(I634-J634)</f>
        <v>7580</v>
      </c>
    </row>
    <row r="635" customFormat="false" ht="15" hidden="false" customHeight="false" outlineLevel="0" collapsed="false">
      <c r="A635" s="21" t="s">
        <v>701</v>
      </c>
      <c r="B635" s="22" t="n">
        <v>46284</v>
      </c>
      <c r="C635" s="23" t="n">
        <f aca="false">YEAR(B635)</f>
        <v>2026</v>
      </c>
      <c r="D635" s="23" t="n">
        <f aca="false">MONTH(B635)</f>
        <v>9</v>
      </c>
      <c r="E635" s="21" t="s">
        <v>61</v>
      </c>
      <c r="F635" s="21" t="s">
        <v>65</v>
      </c>
      <c r="G635" s="21" t="s">
        <v>66</v>
      </c>
      <c r="H635" s="24" t="n">
        <v>24</v>
      </c>
      <c r="I635" s="24" t="n">
        <v>4480</v>
      </c>
      <c r="J635" s="24" t="n">
        <v>1900</v>
      </c>
      <c r="K635" s="25" t="n">
        <f aca="false">H635*I635</f>
        <v>107520</v>
      </c>
      <c r="L635" s="25" t="n">
        <f aca="false">H635*(I635-J635)</f>
        <v>61920</v>
      </c>
    </row>
    <row r="636" customFormat="false" ht="15" hidden="false" customHeight="false" outlineLevel="0" collapsed="false">
      <c r="A636" s="21" t="s">
        <v>702</v>
      </c>
      <c r="B636" s="22" t="n">
        <v>46284</v>
      </c>
      <c r="C636" s="23" t="n">
        <f aca="false">YEAR(B636)</f>
        <v>2026</v>
      </c>
      <c r="D636" s="23" t="n">
        <f aca="false">MONTH(B636)</f>
        <v>9</v>
      </c>
      <c r="E636" s="21" t="s">
        <v>43</v>
      </c>
      <c r="F636" s="21" t="s">
        <v>65</v>
      </c>
      <c r="G636" s="21" t="s">
        <v>66</v>
      </c>
      <c r="H636" s="24" t="n">
        <v>15</v>
      </c>
      <c r="I636" s="24" t="n">
        <v>4550</v>
      </c>
      <c r="J636" s="24" t="n">
        <v>1900</v>
      </c>
      <c r="K636" s="25" t="n">
        <f aca="false">H636*I636</f>
        <v>68250</v>
      </c>
      <c r="L636" s="25" t="n">
        <f aca="false">H636*(I636-J636)</f>
        <v>39750</v>
      </c>
    </row>
    <row r="637" customFormat="false" ht="15" hidden="false" customHeight="false" outlineLevel="0" collapsed="false">
      <c r="A637" s="21" t="s">
        <v>703</v>
      </c>
      <c r="B637" s="22" t="n">
        <v>46286</v>
      </c>
      <c r="C637" s="23" t="n">
        <f aca="false">YEAR(B637)</f>
        <v>2026</v>
      </c>
      <c r="D637" s="23" t="n">
        <f aca="false">MONTH(B637)</f>
        <v>9</v>
      </c>
      <c r="E637" s="21" t="s">
        <v>43</v>
      </c>
      <c r="F637" s="21" t="s">
        <v>44</v>
      </c>
      <c r="G637" s="21" t="s">
        <v>45</v>
      </c>
      <c r="H637" s="24" t="n">
        <v>5</v>
      </c>
      <c r="I637" s="24" t="n">
        <v>4390</v>
      </c>
      <c r="J637" s="24" t="n">
        <v>2800</v>
      </c>
      <c r="K637" s="25" t="n">
        <f aca="false">H637*I637</f>
        <v>21950</v>
      </c>
      <c r="L637" s="25" t="n">
        <f aca="false">H637*(I637-J637)</f>
        <v>7950</v>
      </c>
    </row>
    <row r="638" customFormat="false" ht="15" hidden="false" customHeight="false" outlineLevel="0" collapsed="false">
      <c r="A638" s="21" t="s">
        <v>704</v>
      </c>
      <c r="B638" s="22" t="n">
        <v>46288</v>
      </c>
      <c r="C638" s="23" t="n">
        <f aca="false">YEAR(B638)</f>
        <v>2026</v>
      </c>
      <c r="D638" s="23" t="n">
        <f aca="false">MONTH(B638)</f>
        <v>9</v>
      </c>
      <c r="E638" s="21" t="s">
        <v>61</v>
      </c>
      <c r="F638" s="21" t="s">
        <v>57</v>
      </c>
      <c r="G638" s="21" t="s">
        <v>78</v>
      </c>
      <c r="H638" s="24" t="n">
        <v>44</v>
      </c>
      <c r="I638" s="24" t="n">
        <v>635</v>
      </c>
      <c r="J638" s="24" t="n">
        <v>320</v>
      </c>
      <c r="K638" s="25" t="n">
        <f aca="false">H638*I638</f>
        <v>27940</v>
      </c>
      <c r="L638" s="25" t="n">
        <f aca="false">H638*(I638-J638)</f>
        <v>13860</v>
      </c>
    </row>
    <row r="639" customFormat="false" ht="15" hidden="false" customHeight="false" outlineLevel="0" collapsed="false">
      <c r="A639" s="21" t="s">
        <v>705</v>
      </c>
      <c r="B639" s="22" t="n">
        <v>46288</v>
      </c>
      <c r="C639" s="23" t="n">
        <f aca="false">YEAR(B639)</f>
        <v>2026</v>
      </c>
      <c r="D639" s="23" t="n">
        <f aca="false">MONTH(B639)</f>
        <v>9</v>
      </c>
      <c r="E639" s="21" t="s">
        <v>43</v>
      </c>
      <c r="F639" s="21" t="s">
        <v>44</v>
      </c>
      <c r="G639" s="21" t="s">
        <v>69</v>
      </c>
      <c r="H639" s="24" t="n">
        <v>1</v>
      </c>
      <c r="I639" s="24" t="n">
        <v>20440</v>
      </c>
      <c r="J639" s="24" t="n">
        <v>15500</v>
      </c>
      <c r="K639" s="25" t="n">
        <f aca="false">H639*I639</f>
        <v>20440</v>
      </c>
      <c r="L639" s="25" t="n">
        <f aca="false">H639*(I639-J639)</f>
        <v>4940</v>
      </c>
    </row>
    <row r="640" customFormat="false" ht="15" hidden="false" customHeight="false" outlineLevel="0" collapsed="false">
      <c r="A640" s="21" t="s">
        <v>706</v>
      </c>
      <c r="B640" s="22" t="n">
        <v>46288</v>
      </c>
      <c r="C640" s="23" t="n">
        <f aca="false">YEAR(B640)</f>
        <v>2026</v>
      </c>
      <c r="D640" s="23" t="n">
        <f aca="false">MONTH(B640)</f>
        <v>9</v>
      </c>
      <c r="E640" s="21" t="s">
        <v>48</v>
      </c>
      <c r="F640" s="21" t="s">
        <v>57</v>
      </c>
      <c r="G640" s="21" t="s">
        <v>78</v>
      </c>
      <c r="H640" s="24" t="n">
        <v>13</v>
      </c>
      <c r="I640" s="24" t="n">
        <v>641</v>
      </c>
      <c r="J640" s="24" t="n">
        <v>320</v>
      </c>
      <c r="K640" s="25" t="n">
        <f aca="false">H640*I640</f>
        <v>8333</v>
      </c>
      <c r="L640" s="25" t="n">
        <f aca="false">H640*(I640-J640)</f>
        <v>4173</v>
      </c>
    </row>
    <row r="641" customFormat="false" ht="15" hidden="false" customHeight="false" outlineLevel="0" collapsed="false">
      <c r="A641" s="21" t="s">
        <v>707</v>
      </c>
      <c r="B641" s="22" t="n">
        <v>46289</v>
      </c>
      <c r="C641" s="23" t="n">
        <f aca="false">YEAR(B641)</f>
        <v>2026</v>
      </c>
      <c r="D641" s="23" t="n">
        <f aca="false">MONTH(B641)</f>
        <v>9</v>
      </c>
      <c r="E641" s="21" t="s">
        <v>48</v>
      </c>
      <c r="F641" s="21" t="s">
        <v>62</v>
      </c>
      <c r="G641" s="21" t="s">
        <v>63</v>
      </c>
      <c r="H641" s="24" t="n">
        <v>4</v>
      </c>
      <c r="I641" s="24" t="n">
        <v>26650</v>
      </c>
      <c r="J641" s="24" t="n">
        <v>19500</v>
      </c>
      <c r="K641" s="25" t="n">
        <f aca="false">H641*I641</f>
        <v>106600</v>
      </c>
      <c r="L641" s="25" t="n">
        <f aca="false">H641*(I641-J641)</f>
        <v>28600</v>
      </c>
    </row>
    <row r="642" customFormat="false" ht="15" hidden="false" customHeight="false" outlineLevel="0" collapsed="false">
      <c r="A642" s="21" t="s">
        <v>708</v>
      </c>
      <c r="B642" s="22" t="n">
        <v>46290</v>
      </c>
      <c r="C642" s="23" t="n">
        <f aca="false">YEAR(B642)</f>
        <v>2026</v>
      </c>
      <c r="D642" s="23" t="n">
        <f aca="false">MONTH(B642)</f>
        <v>9</v>
      </c>
      <c r="E642" s="21" t="s">
        <v>43</v>
      </c>
      <c r="F642" s="21" t="s">
        <v>44</v>
      </c>
      <c r="G642" s="21" t="s">
        <v>49</v>
      </c>
      <c r="H642" s="24" t="n">
        <v>2</v>
      </c>
      <c r="I642" s="24" t="n">
        <v>64320</v>
      </c>
      <c r="J642" s="24" t="n">
        <v>48000</v>
      </c>
      <c r="K642" s="25" t="n">
        <f aca="false">H642*I642</f>
        <v>128640</v>
      </c>
      <c r="L642" s="25" t="n">
        <f aca="false">H642*(I642-J642)</f>
        <v>32640</v>
      </c>
    </row>
    <row r="643" customFormat="false" ht="15" hidden="false" customHeight="false" outlineLevel="0" collapsed="false">
      <c r="A643" s="21" t="s">
        <v>709</v>
      </c>
      <c r="B643" s="22" t="n">
        <v>46290</v>
      </c>
      <c r="C643" s="23" t="n">
        <f aca="false">YEAR(B643)</f>
        <v>2026</v>
      </c>
      <c r="D643" s="23" t="n">
        <f aca="false">MONTH(B643)</f>
        <v>9</v>
      </c>
      <c r="E643" s="21" t="s">
        <v>43</v>
      </c>
      <c r="F643" s="21" t="s">
        <v>62</v>
      </c>
      <c r="G643" s="21" t="s">
        <v>72</v>
      </c>
      <c r="H643" s="24" t="n">
        <v>4</v>
      </c>
      <c r="I643" s="24" t="n">
        <v>7360</v>
      </c>
      <c r="J643" s="24" t="n">
        <v>4800</v>
      </c>
      <c r="K643" s="25" t="n">
        <f aca="false">H643*I643</f>
        <v>29440</v>
      </c>
      <c r="L643" s="25" t="n">
        <f aca="false">H643*(I643-J643)</f>
        <v>10240</v>
      </c>
    </row>
    <row r="644" customFormat="false" ht="15" hidden="false" customHeight="false" outlineLevel="0" collapsed="false">
      <c r="A644" s="21" t="s">
        <v>710</v>
      </c>
      <c r="B644" s="22" t="n">
        <v>46293</v>
      </c>
      <c r="C644" s="23" t="n">
        <f aca="false">YEAR(B644)</f>
        <v>2026</v>
      </c>
      <c r="D644" s="23" t="n">
        <f aca="false">MONTH(B644)</f>
        <v>9</v>
      </c>
      <c r="E644" s="21" t="s">
        <v>48</v>
      </c>
      <c r="F644" s="21" t="s">
        <v>65</v>
      </c>
      <c r="G644" s="21" t="s">
        <v>89</v>
      </c>
      <c r="H644" s="24" t="n">
        <v>22</v>
      </c>
      <c r="I644" s="24" t="n">
        <v>1780</v>
      </c>
      <c r="J644" s="24" t="n">
        <v>500</v>
      </c>
      <c r="K644" s="25" t="n">
        <f aca="false">H644*I644</f>
        <v>39160</v>
      </c>
      <c r="L644" s="25" t="n">
        <f aca="false">H644*(I644-J644)</f>
        <v>28160</v>
      </c>
    </row>
    <row r="645" customFormat="false" ht="15" hidden="false" customHeight="false" outlineLevel="0" collapsed="false">
      <c r="A645" s="21" t="s">
        <v>711</v>
      </c>
      <c r="B645" s="22" t="n">
        <v>46293</v>
      </c>
      <c r="C645" s="23" t="n">
        <f aca="false">YEAR(B645)</f>
        <v>2026</v>
      </c>
      <c r="D645" s="23" t="n">
        <f aca="false">MONTH(B645)</f>
        <v>9</v>
      </c>
      <c r="E645" s="21" t="s">
        <v>61</v>
      </c>
      <c r="F645" s="21" t="s">
        <v>44</v>
      </c>
      <c r="G645" s="21" t="s">
        <v>45</v>
      </c>
      <c r="H645" s="24" t="n">
        <v>7</v>
      </c>
      <c r="I645" s="24" t="n">
        <v>4280</v>
      </c>
      <c r="J645" s="24" t="n">
        <v>2800</v>
      </c>
      <c r="K645" s="25" t="n">
        <f aca="false">H645*I645</f>
        <v>29960</v>
      </c>
      <c r="L645" s="25" t="n">
        <f aca="false">H645*(I645-J645)</f>
        <v>10360</v>
      </c>
    </row>
    <row r="646" customFormat="false" ht="15" hidden="false" customHeight="false" outlineLevel="0" collapsed="false">
      <c r="A646" s="21" t="s">
        <v>712</v>
      </c>
      <c r="B646" s="22" t="n">
        <v>46294</v>
      </c>
      <c r="C646" s="23" t="n">
        <f aca="false">YEAR(B646)</f>
        <v>2026</v>
      </c>
      <c r="D646" s="23" t="n">
        <f aca="false">MONTH(B646)</f>
        <v>9</v>
      </c>
      <c r="E646" s="21" t="s">
        <v>48</v>
      </c>
      <c r="F646" s="21" t="s">
        <v>44</v>
      </c>
      <c r="G646" s="21" t="s">
        <v>49</v>
      </c>
      <c r="H646" s="24" t="n">
        <v>2</v>
      </c>
      <c r="I646" s="24" t="n">
        <v>59200</v>
      </c>
      <c r="J646" s="24" t="n">
        <v>48000</v>
      </c>
      <c r="K646" s="25" t="n">
        <f aca="false">H646*I646</f>
        <v>118400</v>
      </c>
      <c r="L646" s="25" t="n">
        <f aca="false">H646*(I646-J646)</f>
        <v>22400</v>
      </c>
    </row>
    <row r="647" customFormat="false" ht="15" hidden="false" customHeight="false" outlineLevel="0" collapsed="false">
      <c r="A647" s="21" t="s">
        <v>713</v>
      </c>
      <c r="B647" s="22" t="n">
        <v>46294</v>
      </c>
      <c r="C647" s="23" t="n">
        <f aca="false">YEAR(B647)</f>
        <v>2026</v>
      </c>
      <c r="D647" s="23" t="n">
        <f aca="false">MONTH(B647)</f>
        <v>9</v>
      </c>
      <c r="E647" s="21" t="s">
        <v>43</v>
      </c>
      <c r="F647" s="21" t="s">
        <v>44</v>
      </c>
      <c r="G647" s="21" t="s">
        <v>69</v>
      </c>
      <c r="H647" s="24" t="n">
        <v>1</v>
      </c>
      <c r="I647" s="24" t="n">
        <v>19730</v>
      </c>
      <c r="J647" s="24" t="n">
        <v>15500</v>
      </c>
      <c r="K647" s="25" t="n">
        <f aca="false">H647*I647</f>
        <v>19730</v>
      </c>
      <c r="L647" s="25" t="n">
        <f aca="false">H647*(I647-J647)</f>
        <v>4230</v>
      </c>
    </row>
    <row r="648" customFormat="false" ht="15" hidden="false" customHeight="false" outlineLevel="0" collapsed="false">
      <c r="A648" s="21" t="s">
        <v>714</v>
      </c>
      <c r="B648" s="22" t="n">
        <v>46294</v>
      </c>
      <c r="C648" s="23" t="n">
        <f aca="false">YEAR(B648)</f>
        <v>2026</v>
      </c>
      <c r="D648" s="23" t="n">
        <f aca="false">MONTH(B648)</f>
        <v>9</v>
      </c>
      <c r="E648" s="21" t="s">
        <v>76</v>
      </c>
      <c r="F648" s="21" t="s">
        <v>62</v>
      </c>
      <c r="G648" s="21" t="s">
        <v>92</v>
      </c>
      <c r="H648" s="24" t="n">
        <v>5</v>
      </c>
      <c r="I648" s="24" t="n">
        <v>13370</v>
      </c>
      <c r="J648" s="24" t="n">
        <v>9000</v>
      </c>
      <c r="K648" s="25" t="n">
        <f aca="false">H648*I648</f>
        <v>66850</v>
      </c>
      <c r="L648" s="25" t="n">
        <f aca="false">H648*(I648-J648)</f>
        <v>21850</v>
      </c>
    </row>
    <row r="649" customFormat="false" ht="15" hidden="false" customHeight="false" outlineLevel="0" collapsed="false">
      <c r="A649" s="21" t="s">
        <v>715</v>
      </c>
      <c r="B649" s="22" t="n">
        <v>46295</v>
      </c>
      <c r="C649" s="23" t="n">
        <f aca="false">YEAR(B649)</f>
        <v>2026</v>
      </c>
      <c r="D649" s="23" t="n">
        <f aca="false">MONTH(B649)</f>
        <v>9</v>
      </c>
      <c r="E649" s="21" t="s">
        <v>48</v>
      </c>
      <c r="F649" s="21" t="s">
        <v>44</v>
      </c>
      <c r="G649" s="21" t="s">
        <v>49</v>
      </c>
      <c r="H649" s="24" t="n">
        <v>3</v>
      </c>
      <c r="I649" s="24" t="n">
        <v>60520</v>
      </c>
      <c r="J649" s="24" t="n">
        <v>48000</v>
      </c>
      <c r="K649" s="25" t="n">
        <f aca="false">H649*I649</f>
        <v>181560</v>
      </c>
      <c r="L649" s="25" t="n">
        <f aca="false">H649*(I649-J649)</f>
        <v>37560</v>
      </c>
    </row>
    <row r="650" customFormat="false" ht="15" hidden="false" customHeight="false" outlineLevel="0" collapsed="false">
      <c r="A650" s="21" t="s">
        <v>716</v>
      </c>
      <c r="B650" s="22" t="n">
        <v>46295</v>
      </c>
      <c r="C650" s="23" t="n">
        <f aca="false">YEAR(B650)</f>
        <v>2026</v>
      </c>
      <c r="D650" s="23" t="n">
        <f aca="false">MONTH(B650)</f>
        <v>9</v>
      </c>
      <c r="E650" s="21" t="s">
        <v>56</v>
      </c>
      <c r="F650" s="21" t="s">
        <v>57</v>
      </c>
      <c r="G650" s="21" t="s">
        <v>78</v>
      </c>
      <c r="H650" s="24" t="n">
        <v>40</v>
      </c>
      <c r="I650" s="24" t="n">
        <v>655</v>
      </c>
      <c r="J650" s="24" t="n">
        <v>320</v>
      </c>
      <c r="K650" s="25" t="n">
        <f aca="false">H650*I650</f>
        <v>26200</v>
      </c>
      <c r="L650" s="25" t="n">
        <f aca="false">H650*(I650-J650)</f>
        <v>13400</v>
      </c>
    </row>
    <row r="651" customFormat="false" ht="15" hidden="false" customHeight="false" outlineLevel="0" collapsed="false">
      <c r="A651" s="21" t="s">
        <v>717</v>
      </c>
      <c r="B651" s="22" t="n">
        <v>46295</v>
      </c>
      <c r="C651" s="23" t="n">
        <f aca="false">YEAR(B651)</f>
        <v>2026</v>
      </c>
      <c r="D651" s="23" t="n">
        <f aca="false">MONTH(B651)</f>
        <v>9</v>
      </c>
      <c r="E651" s="21" t="s">
        <v>48</v>
      </c>
      <c r="F651" s="21" t="s">
        <v>44</v>
      </c>
      <c r="G651" s="21" t="s">
        <v>69</v>
      </c>
      <c r="H651" s="24" t="n">
        <v>4</v>
      </c>
      <c r="I651" s="24" t="n">
        <v>21620</v>
      </c>
      <c r="J651" s="24" t="n">
        <v>15500</v>
      </c>
      <c r="K651" s="25" t="n">
        <f aca="false">H651*I651</f>
        <v>86480</v>
      </c>
      <c r="L651" s="25" t="n">
        <f aca="false">H651*(I651-J651)</f>
        <v>24480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27" t="s">
        <v>718</v>
      </c>
      <c r="B1" s="21"/>
      <c r="C1" s="21"/>
      <c r="D1" s="21"/>
      <c r="E1" s="21"/>
    </row>
    <row r="2" customFormat="false" ht="15" hidden="false" customHeight="false" outlineLevel="0" collapsed="false">
      <c r="A2" s="21" t="s">
        <v>719</v>
      </c>
      <c r="B2" s="21" t="str">
        <f aca="false">IF(Dashboard!$C$5="All","&lt;&gt;",Dashboard!$C$5)</f>
        <v>&lt;&gt;</v>
      </c>
      <c r="C2" s="21"/>
      <c r="D2" s="21"/>
      <c r="E2" s="21"/>
    </row>
    <row r="3" customFormat="false" ht="15" hidden="false" customHeight="false" outlineLevel="0" collapsed="false">
      <c r="A3" s="21" t="s">
        <v>720</v>
      </c>
      <c r="B3" s="21" t="str">
        <f aca="false">IF(Dashboard!$F$5="All","&lt;&gt;",Dashboard!$F$5)</f>
        <v>&lt;&gt;</v>
      </c>
      <c r="C3" s="21"/>
      <c r="D3" s="21"/>
      <c r="E3" s="21"/>
    </row>
    <row r="4" customFormat="false" ht="15" hidden="false" customHeight="false" outlineLevel="0" collapsed="false">
      <c r="A4" s="21" t="s">
        <v>721</v>
      </c>
      <c r="B4" s="21" t="str">
        <f aca="false">IF(Dashboard!$I$5="All","&lt;&gt;",Dashboard!$I$5)</f>
        <v>&lt;&gt;</v>
      </c>
      <c r="C4" s="21"/>
      <c r="D4" s="21"/>
      <c r="E4" s="21"/>
    </row>
    <row r="5" customFormat="false" ht="15" hidden="false" customHeight="false" outlineLevel="0" collapsed="false">
      <c r="A5" s="28" t="s">
        <v>722</v>
      </c>
      <c r="B5" s="21"/>
      <c r="C5" s="21"/>
      <c r="D5" s="21"/>
      <c r="E5" s="21"/>
    </row>
    <row r="6" customFormat="false" ht="15" hidden="false" customHeight="false" outlineLevel="0" collapsed="false">
      <c r="A6" s="29" t="s">
        <v>34</v>
      </c>
      <c r="B6" s="29" t="s">
        <v>723</v>
      </c>
      <c r="C6" s="29" t="s">
        <v>724</v>
      </c>
      <c r="D6" s="29" t="s">
        <v>725</v>
      </c>
      <c r="E6" s="21"/>
    </row>
    <row r="7" customFormat="false" ht="15" hidden="false" customHeight="false" outlineLevel="0" collapsed="false">
      <c r="A7" s="21" t="s">
        <v>726</v>
      </c>
      <c r="B7" s="21" t="n">
        <v>1</v>
      </c>
      <c r="C7" s="25" t="n">
        <f aca="false">SUMIFS(Data!$K$2:$K$5000,Data!$D$2:$D$5000,$B7,Data!$C$2:$C$5000,Calc!$B$2,Data!$E$2:$E$5000,Calc!$B$3,Data!$F$2:$F$5000,Calc!$B$4)</f>
        <v>3001373</v>
      </c>
      <c r="D7" s="25" t="n">
        <f aca="false">SUMIFS(Data!$L$2:$L$5000,Data!$D$2:$D$5000,$B7,Data!$C$2:$C$5000,Calc!$B$2,Data!$E$2:$E$5000,Calc!$B$3,Data!$F$2:$F$5000,Calc!$B$4)</f>
        <v>1133553</v>
      </c>
      <c r="E7" s="21"/>
    </row>
    <row r="8" customFormat="false" ht="15" hidden="false" customHeight="false" outlineLevel="0" collapsed="false">
      <c r="A8" s="21" t="s">
        <v>727</v>
      </c>
      <c r="B8" s="21" t="n">
        <v>2</v>
      </c>
      <c r="C8" s="25" t="n">
        <f aca="false">SUMIFS(Data!$K$2:$K$5000,Data!$D$2:$D$5000,$B8,Data!$C$2:$C$5000,Calc!$B$2,Data!$E$2:$E$5000,Calc!$B$3,Data!$F$2:$F$5000,Calc!$B$4)</f>
        <v>1748429</v>
      </c>
      <c r="D8" s="25" t="n">
        <f aca="false">SUMIFS(Data!$L$2:$L$5000,Data!$D$2:$D$5000,$B8,Data!$C$2:$C$5000,Calc!$B$2,Data!$E$2:$E$5000,Calc!$B$3,Data!$F$2:$F$5000,Calc!$B$4)</f>
        <v>753589</v>
      </c>
      <c r="E8" s="21"/>
    </row>
    <row r="9" customFormat="false" ht="15" hidden="false" customHeight="false" outlineLevel="0" collapsed="false">
      <c r="A9" s="21" t="s">
        <v>728</v>
      </c>
      <c r="B9" s="21" t="n">
        <v>3</v>
      </c>
      <c r="C9" s="25" t="n">
        <f aca="false">SUMIFS(Data!$K$2:$K$5000,Data!$D$2:$D$5000,$B9,Data!$C$2:$C$5000,Calc!$B$2,Data!$E$2:$E$5000,Calc!$B$3,Data!$F$2:$F$5000,Calc!$B$4)</f>
        <v>3328061</v>
      </c>
      <c r="D9" s="25" t="n">
        <f aca="false">SUMIFS(Data!$L$2:$L$5000,Data!$D$2:$D$5000,$B9,Data!$C$2:$C$5000,Calc!$B$2,Data!$E$2:$E$5000,Calc!$B$3,Data!$F$2:$F$5000,Calc!$B$4)</f>
        <v>1340441</v>
      </c>
      <c r="E9" s="21"/>
    </row>
    <row r="10" customFormat="false" ht="15" hidden="false" customHeight="false" outlineLevel="0" collapsed="false">
      <c r="A10" s="21" t="s">
        <v>729</v>
      </c>
      <c r="B10" s="21" t="n">
        <v>4</v>
      </c>
      <c r="C10" s="25" t="n">
        <f aca="false">SUMIFS(Data!$K$2:$K$5000,Data!$D$2:$D$5000,$B10,Data!$C$2:$C$5000,Calc!$B$2,Data!$E$2:$E$5000,Calc!$B$3,Data!$F$2:$F$5000,Calc!$B$4)</f>
        <v>3307596</v>
      </c>
      <c r="D10" s="25" t="n">
        <f aca="false">SUMIFS(Data!$L$2:$L$5000,Data!$D$2:$D$5000,$B10,Data!$C$2:$C$5000,Calc!$B$2,Data!$E$2:$E$5000,Calc!$B$3,Data!$F$2:$F$5000,Calc!$B$4)</f>
        <v>1327276</v>
      </c>
      <c r="E10" s="21"/>
    </row>
    <row r="11" customFormat="false" ht="15" hidden="false" customHeight="false" outlineLevel="0" collapsed="false">
      <c r="A11" s="21" t="s">
        <v>730</v>
      </c>
      <c r="B11" s="21" t="n">
        <v>5</v>
      </c>
      <c r="C11" s="25" t="n">
        <f aca="false">SUMIFS(Data!$K$2:$K$5000,Data!$D$2:$D$5000,$B11,Data!$C$2:$C$5000,Calc!$B$2,Data!$E$2:$E$5000,Calc!$B$3,Data!$F$2:$F$5000,Calc!$B$4)</f>
        <v>2496977</v>
      </c>
      <c r="D11" s="25" t="n">
        <f aca="false">SUMIFS(Data!$L$2:$L$5000,Data!$D$2:$D$5000,$B11,Data!$C$2:$C$5000,Calc!$B$2,Data!$E$2:$E$5000,Calc!$B$3,Data!$F$2:$F$5000,Calc!$B$4)</f>
        <v>1190357</v>
      </c>
      <c r="E11" s="21"/>
    </row>
    <row r="12" customFormat="false" ht="15" hidden="false" customHeight="false" outlineLevel="0" collapsed="false">
      <c r="A12" s="21" t="s">
        <v>731</v>
      </c>
      <c r="B12" s="21" t="n">
        <v>6</v>
      </c>
      <c r="C12" s="25" t="n">
        <f aca="false">SUMIFS(Data!$K$2:$K$5000,Data!$D$2:$D$5000,$B12,Data!$C$2:$C$5000,Calc!$B$2,Data!$E$2:$E$5000,Calc!$B$3,Data!$F$2:$F$5000,Calc!$B$4)</f>
        <v>2704399</v>
      </c>
      <c r="D12" s="25" t="n">
        <f aca="false">SUMIFS(Data!$L$2:$L$5000,Data!$D$2:$D$5000,$B12,Data!$C$2:$C$5000,Calc!$B$2,Data!$E$2:$E$5000,Calc!$B$3,Data!$F$2:$F$5000,Calc!$B$4)</f>
        <v>1124079</v>
      </c>
      <c r="E12" s="21"/>
    </row>
    <row r="13" customFormat="false" ht="15" hidden="false" customHeight="false" outlineLevel="0" collapsed="false">
      <c r="A13" s="21" t="s">
        <v>732</v>
      </c>
      <c r="B13" s="21" t="n">
        <v>7</v>
      </c>
      <c r="C13" s="25" t="n">
        <f aca="false">SUMIFS(Data!$K$2:$K$5000,Data!$D$2:$D$5000,$B13,Data!$C$2:$C$5000,Calc!$B$2,Data!$E$2:$E$5000,Calc!$B$3,Data!$F$2:$F$5000,Calc!$B$4)</f>
        <v>3696161</v>
      </c>
      <c r="D13" s="25" t="n">
        <f aca="false">SUMIFS(Data!$L$2:$L$5000,Data!$D$2:$D$5000,$B13,Data!$C$2:$C$5000,Calc!$B$2,Data!$E$2:$E$5000,Calc!$B$3,Data!$F$2:$F$5000,Calc!$B$4)</f>
        <v>1527611</v>
      </c>
      <c r="E13" s="21"/>
    </row>
    <row r="14" customFormat="false" ht="15" hidden="false" customHeight="false" outlineLevel="0" collapsed="false">
      <c r="A14" s="21" t="s">
        <v>733</v>
      </c>
      <c r="B14" s="21" t="n">
        <v>8</v>
      </c>
      <c r="C14" s="25" t="n">
        <f aca="false">SUMIFS(Data!$K$2:$K$5000,Data!$D$2:$D$5000,$B14,Data!$C$2:$C$5000,Calc!$B$2,Data!$E$2:$E$5000,Calc!$B$3,Data!$F$2:$F$5000,Calc!$B$4)</f>
        <v>3418523</v>
      </c>
      <c r="D14" s="25" t="n">
        <f aca="false">SUMIFS(Data!$L$2:$L$5000,Data!$D$2:$D$5000,$B14,Data!$C$2:$C$5000,Calc!$B$2,Data!$E$2:$E$5000,Calc!$B$3,Data!$F$2:$F$5000,Calc!$B$4)</f>
        <v>1483183</v>
      </c>
      <c r="E14" s="21"/>
    </row>
    <row r="15" customFormat="false" ht="15" hidden="false" customHeight="false" outlineLevel="0" collapsed="false">
      <c r="A15" s="21" t="s">
        <v>734</v>
      </c>
      <c r="B15" s="21" t="n">
        <v>9</v>
      </c>
      <c r="C15" s="25" t="n">
        <f aca="false">SUMIFS(Data!$K$2:$K$5000,Data!$D$2:$D$5000,$B15,Data!$C$2:$C$5000,Calc!$B$2,Data!$E$2:$E$5000,Calc!$B$3,Data!$F$2:$F$5000,Calc!$B$4)</f>
        <v>3387651</v>
      </c>
      <c r="D15" s="25" t="n">
        <f aca="false">SUMIFS(Data!$L$2:$L$5000,Data!$D$2:$D$5000,$B15,Data!$C$2:$C$5000,Calc!$B$2,Data!$E$2:$E$5000,Calc!$B$3,Data!$F$2:$F$5000,Calc!$B$4)</f>
        <v>1352311</v>
      </c>
      <c r="E15" s="21"/>
    </row>
    <row r="16" customFormat="false" ht="15" hidden="false" customHeight="false" outlineLevel="0" collapsed="false">
      <c r="A16" s="21" t="s">
        <v>735</v>
      </c>
      <c r="B16" s="21" t="n">
        <v>10</v>
      </c>
      <c r="C16" s="25" t="n">
        <f aca="false">SUMIFS(Data!$K$2:$K$5000,Data!$D$2:$D$5000,$B16,Data!$C$2:$C$5000,Calc!$B$2,Data!$E$2:$E$5000,Calc!$B$3,Data!$F$2:$F$5000,Calc!$B$4)</f>
        <v>1778743</v>
      </c>
      <c r="D16" s="25" t="n">
        <f aca="false">SUMIFS(Data!$L$2:$L$5000,Data!$D$2:$D$5000,$B16,Data!$C$2:$C$5000,Calc!$B$2,Data!$E$2:$E$5000,Calc!$B$3,Data!$F$2:$F$5000,Calc!$B$4)</f>
        <v>683363</v>
      </c>
      <c r="E16" s="21"/>
    </row>
    <row r="17" customFormat="false" ht="15" hidden="false" customHeight="false" outlineLevel="0" collapsed="false">
      <c r="A17" s="21" t="s">
        <v>736</v>
      </c>
      <c r="B17" s="21" t="n">
        <v>11</v>
      </c>
      <c r="C17" s="25" t="n">
        <f aca="false">SUMIFS(Data!$K$2:$K$5000,Data!$D$2:$D$5000,$B17,Data!$C$2:$C$5000,Calc!$B$2,Data!$E$2:$E$5000,Calc!$B$3,Data!$F$2:$F$5000,Calc!$B$4)</f>
        <v>1909288</v>
      </c>
      <c r="D17" s="25" t="n">
        <f aca="false">SUMIFS(Data!$L$2:$L$5000,Data!$D$2:$D$5000,$B17,Data!$C$2:$C$5000,Calc!$B$2,Data!$E$2:$E$5000,Calc!$B$3,Data!$F$2:$F$5000,Calc!$B$4)</f>
        <v>866068</v>
      </c>
      <c r="E17" s="21"/>
    </row>
    <row r="18" customFormat="false" ht="15" hidden="false" customHeight="false" outlineLevel="0" collapsed="false">
      <c r="A18" s="21" t="s">
        <v>737</v>
      </c>
      <c r="B18" s="21" t="n">
        <v>12</v>
      </c>
      <c r="C18" s="25" t="n">
        <f aca="false">SUMIFS(Data!$K$2:$K$5000,Data!$D$2:$D$5000,$B18,Data!$C$2:$C$5000,Calc!$B$2,Data!$E$2:$E$5000,Calc!$B$3,Data!$F$2:$F$5000,Calc!$B$4)</f>
        <v>2206876</v>
      </c>
      <c r="D18" s="25" t="n">
        <f aca="false">SUMIFS(Data!$L$2:$L$5000,Data!$D$2:$D$5000,$B18,Data!$C$2:$C$5000,Calc!$B$2,Data!$E$2:$E$5000,Calc!$B$3,Data!$F$2:$F$5000,Calc!$B$4)</f>
        <v>905086</v>
      </c>
      <c r="E18" s="21"/>
    </row>
    <row r="19" customFormat="false" ht="15" hidden="false" customHeight="false" outlineLevel="0" collapsed="false">
      <c r="A19" s="21"/>
      <c r="B19" s="21"/>
      <c r="C19" s="21"/>
      <c r="D19" s="21"/>
      <c r="E19" s="21"/>
    </row>
    <row r="20" customFormat="false" ht="15" hidden="false" customHeight="false" outlineLevel="0" collapsed="false">
      <c r="A20" s="28" t="s">
        <v>738</v>
      </c>
      <c r="B20" s="21"/>
      <c r="C20" s="21"/>
      <c r="D20" s="21"/>
      <c r="E20" s="21"/>
    </row>
    <row r="21" customFormat="false" ht="15" hidden="false" customHeight="false" outlineLevel="0" collapsed="false">
      <c r="A21" s="29" t="s">
        <v>4</v>
      </c>
      <c r="B21" s="29" t="s">
        <v>724</v>
      </c>
      <c r="C21" s="21"/>
      <c r="D21" s="21"/>
      <c r="E21" s="21"/>
    </row>
    <row r="22" customFormat="false" ht="15" hidden="false" customHeight="false" outlineLevel="0" collapsed="false">
      <c r="A22" s="21" t="s">
        <v>43</v>
      </c>
      <c r="B22" s="25" t="n">
        <f aca="false">SUMIFS(Data!$K$2:$K$5000,Data!$E$2:$E$5000,$A22,Data!$C$2:$C$5000,$B$2,Data!$F$2:$F$5000,$B$4)</f>
        <v>6365822</v>
      </c>
      <c r="C22" s="21"/>
      <c r="D22" s="21"/>
      <c r="E22" s="21"/>
    </row>
    <row r="23" customFormat="false" ht="15" hidden="false" customHeight="false" outlineLevel="0" collapsed="false">
      <c r="A23" s="21" t="s">
        <v>48</v>
      </c>
      <c r="B23" s="25" t="n">
        <f aca="false">SUMIFS(Data!$K$2:$K$5000,Data!$E$2:$E$5000,$A23,Data!$C$2:$C$5000,$B$2,Data!$F$2:$F$5000,$B$4)</f>
        <v>9152597</v>
      </c>
      <c r="C23" s="21"/>
      <c r="D23" s="21"/>
      <c r="E23" s="21"/>
    </row>
    <row r="24" customFormat="false" ht="15" hidden="false" customHeight="false" outlineLevel="0" collapsed="false">
      <c r="A24" s="21" t="s">
        <v>76</v>
      </c>
      <c r="B24" s="25" t="n">
        <f aca="false">SUMIFS(Data!$K$2:$K$5000,Data!$E$2:$E$5000,$A24,Data!$C$2:$C$5000,$B$2,Data!$F$2:$F$5000,$B$4)</f>
        <v>5176718</v>
      </c>
      <c r="C24" s="21"/>
      <c r="D24" s="21"/>
      <c r="E24" s="21"/>
    </row>
    <row r="25" customFormat="false" ht="15" hidden="false" customHeight="false" outlineLevel="0" collapsed="false">
      <c r="A25" s="21" t="s">
        <v>56</v>
      </c>
      <c r="B25" s="25" t="n">
        <f aca="false">SUMIFS(Data!$K$2:$K$5000,Data!$E$2:$E$5000,$A25,Data!$C$2:$C$5000,$B$2,Data!$F$2:$F$5000,$B$4)</f>
        <v>7270578</v>
      </c>
      <c r="C25" s="21"/>
      <c r="D25" s="21"/>
      <c r="E25" s="21"/>
    </row>
    <row r="26" customFormat="false" ht="15" hidden="false" customHeight="false" outlineLevel="0" collapsed="false">
      <c r="A26" s="21" t="s">
        <v>61</v>
      </c>
      <c r="B26" s="25" t="n">
        <f aca="false">SUMIFS(Data!$K$2:$K$5000,Data!$E$2:$E$5000,$A26,Data!$C$2:$C$5000,$B$2,Data!$F$2:$F$5000,$B$4)</f>
        <v>5018362</v>
      </c>
      <c r="C26" s="21"/>
      <c r="D26" s="21"/>
      <c r="E26" s="21"/>
    </row>
    <row r="27" customFormat="false" ht="15" hidden="false" customHeight="false" outlineLevel="0" collapsed="false">
      <c r="A27" s="21"/>
      <c r="B27" s="21"/>
      <c r="C27" s="21"/>
      <c r="D27" s="21"/>
      <c r="E27" s="21"/>
    </row>
    <row r="28" customFormat="false" ht="15" hidden="false" customHeight="false" outlineLevel="0" collapsed="false">
      <c r="A28" s="21"/>
      <c r="B28" s="21"/>
      <c r="C28" s="21"/>
      <c r="D28" s="21"/>
      <c r="E28" s="21"/>
    </row>
    <row r="29" customFormat="false" ht="15" hidden="false" customHeight="false" outlineLevel="0" collapsed="false">
      <c r="A29" s="28" t="s">
        <v>739</v>
      </c>
      <c r="B29" s="21"/>
      <c r="C29" s="21"/>
      <c r="D29" s="21"/>
      <c r="E29" s="21"/>
    </row>
    <row r="30" customFormat="false" ht="15" hidden="false" customHeight="false" outlineLevel="0" collapsed="false">
      <c r="A30" s="29" t="s">
        <v>5</v>
      </c>
      <c r="B30" s="29" t="s">
        <v>724</v>
      </c>
      <c r="C30" s="29" t="s">
        <v>725</v>
      </c>
      <c r="D30" s="29" t="s">
        <v>740</v>
      </c>
      <c r="E30" s="21"/>
    </row>
    <row r="31" customFormat="false" ht="15" hidden="false" customHeight="false" outlineLevel="0" collapsed="false">
      <c r="A31" s="21" t="s">
        <v>44</v>
      </c>
      <c r="B31" s="25" t="n">
        <f aca="false">SUMIFS(Data!$K$2:$K$5000,Data!$F$2:$F$5000,$A31,Data!$C$2:$C$5000,$B$2,Data!$E$2:$E$5000,$B$3)</f>
        <v>12949330</v>
      </c>
      <c r="C31" s="25" t="n">
        <f aca="false">SUMIFS(Data!$L$2:$L$5000,Data!$F$2:$F$5000,$A31,Data!$C$2:$C$5000,$B$2,Data!$E$2:$E$5000,$B$3)</f>
        <v>3272030</v>
      </c>
      <c r="D31" s="30" t="n">
        <f aca="false">IFERROR(C31/B31,0)</f>
        <v>0.252679482258928</v>
      </c>
      <c r="E31" s="21"/>
    </row>
    <row r="32" customFormat="false" ht="15" hidden="false" customHeight="false" outlineLevel="0" collapsed="false">
      <c r="A32" s="21" t="s">
        <v>62</v>
      </c>
      <c r="B32" s="25" t="n">
        <f aca="false">SUMIFS(Data!$K$2:$K$5000,Data!$F$2:$F$5000,$A32,Data!$C$2:$C$5000,$B$2,Data!$E$2:$E$5000,$B$3)</f>
        <v>5495670</v>
      </c>
      <c r="C32" s="25" t="n">
        <f aca="false">SUMIFS(Data!$L$2:$L$5000,Data!$F$2:$F$5000,$A32,Data!$C$2:$C$5000,$B$2,Data!$E$2:$E$5000,$B$3)</f>
        <v>1795170</v>
      </c>
      <c r="D32" s="30" t="n">
        <f aca="false">IFERROR(C32/B32,0)</f>
        <v>0.326651709436702</v>
      </c>
      <c r="E32" s="21"/>
    </row>
    <row r="33" customFormat="false" ht="15" hidden="false" customHeight="false" outlineLevel="0" collapsed="false">
      <c r="A33" s="21" t="s">
        <v>57</v>
      </c>
      <c r="B33" s="25" t="n">
        <f aca="false">SUMIFS(Data!$K$2:$K$5000,Data!$F$2:$F$5000,$A33,Data!$C$2:$C$5000,$B$2,Data!$E$2:$E$5000,$B$3)</f>
        <v>4619417</v>
      </c>
      <c r="C33" s="25" t="n">
        <f aca="false">SUMIFS(Data!$L$2:$L$5000,Data!$F$2:$F$5000,$A33,Data!$C$2:$C$5000,$B$2,Data!$E$2:$E$5000,$B$3)</f>
        <v>1976257</v>
      </c>
      <c r="D33" s="30" t="n">
        <f aca="false">IFERROR(C33/B33,0)</f>
        <v>0.427815241620317</v>
      </c>
      <c r="E33" s="21"/>
    </row>
    <row r="34" customFormat="false" ht="15" hidden="false" customHeight="false" outlineLevel="0" collapsed="false">
      <c r="A34" s="21" t="s">
        <v>65</v>
      </c>
      <c r="B34" s="25" t="n">
        <f aca="false">SUMIFS(Data!$K$2:$K$5000,Data!$F$2:$F$5000,$A34,Data!$C$2:$C$5000,$B$2,Data!$E$2:$E$5000,$B$3)</f>
        <v>9919660</v>
      </c>
      <c r="C34" s="25" t="n">
        <f aca="false">SUMIFS(Data!$L$2:$L$5000,Data!$F$2:$F$5000,$A34,Data!$C$2:$C$5000,$B$2,Data!$E$2:$E$5000,$B$3)</f>
        <v>6643460</v>
      </c>
      <c r="D34" s="30" t="n">
        <f aca="false">IFERROR(C34/B34,0)</f>
        <v>0.669726583370801</v>
      </c>
      <c r="E34" s="21"/>
    </row>
    <row r="35" customFormat="false" ht="15" hidden="false" customHeight="false" outlineLevel="0" collapsed="false">
      <c r="A35" s="21"/>
      <c r="B35" s="21"/>
      <c r="C35" s="21"/>
      <c r="D35" s="21"/>
      <c r="E35" s="21"/>
    </row>
    <row r="36" customFormat="false" ht="15" hidden="false" customHeight="false" outlineLevel="0" collapsed="false">
      <c r="A36" s="21"/>
      <c r="B36" s="21"/>
      <c r="C36" s="21"/>
      <c r="D36" s="21"/>
      <c r="E36" s="21"/>
    </row>
    <row r="37" customFormat="false" ht="15" hidden="false" customHeight="false" outlineLevel="0" collapsed="false">
      <c r="A37" s="28" t="s">
        <v>741</v>
      </c>
      <c r="B37" s="21"/>
      <c r="C37" s="21"/>
      <c r="D37" s="21"/>
      <c r="E37" s="21"/>
    </row>
    <row r="38" customFormat="false" ht="15" hidden="false" customHeight="false" outlineLevel="0" collapsed="false">
      <c r="A38" s="29" t="s">
        <v>35</v>
      </c>
      <c r="B38" s="29" t="s">
        <v>5</v>
      </c>
      <c r="C38" s="29" t="s">
        <v>724</v>
      </c>
      <c r="D38" s="29" t="s">
        <v>742</v>
      </c>
      <c r="E38" s="29" t="s">
        <v>743</v>
      </c>
    </row>
    <row r="39" customFormat="false" ht="15" hidden="false" customHeight="false" outlineLevel="0" collapsed="false">
      <c r="A39" s="21" t="s">
        <v>49</v>
      </c>
      <c r="B39" s="21" t="s">
        <v>44</v>
      </c>
      <c r="C39" s="25" t="n">
        <f aca="false">SUMIFS(Data!$K$2:$K$5000,Data!$G$2:$G$5000,$A39,Data!$C$2:$C$5000,Calc!$B$2,Data!$E$2:$E$5000,Calc!$B$3,Data!$F$2:$F$5000,Calc!$B$4)</f>
        <v>7897060</v>
      </c>
      <c r="D39" s="25" t="n">
        <f aca="false">SUMIFS(Data!$H$2:$H$5000,Data!$G$2:$G$5000,$A39,Data!$C$2:$C$5000,Calc!$B$2,Data!$E$2:$E$5000,Calc!$B$3,Data!$F$2:$F$5000,Calc!$B$4)</f>
        <v>129</v>
      </c>
      <c r="E39" s="31" t="n">
        <f aca="false">C39+ROW()/1000000</f>
        <v>7897060.000039</v>
      </c>
    </row>
    <row r="40" customFormat="false" ht="15" hidden="false" customHeight="false" outlineLevel="0" collapsed="false">
      <c r="A40" s="21" t="s">
        <v>45</v>
      </c>
      <c r="B40" s="21" t="s">
        <v>44</v>
      </c>
      <c r="C40" s="25" t="n">
        <f aca="false">SUMIFS(Data!$K$2:$K$5000,Data!$G$2:$G$5000,$A40,Data!$C$2:$C$5000,Calc!$B$2,Data!$E$2:$E$5000,Calc!$B$3,Data!$F$2:$F$5000,Calc!$B$4)</f>
        <v>2602870</v>
      </c>
      <c r="D40" s="25" t="n">
        <f aca="false">SUMIFS(Data!$H$2:$H$5000,Data!$G$2:$G$5000,$A40,Data!$C$2:$C$5000,Calc!$B$2,Data!$E$2:$E$5000,Calc!$B$3,Data!$F$2:$F$5000,Calc!$B$4)</f>
        <v>586</v>
      </c>
      <c r="E40" s="31" t="n">
        <f aca="false">C40+ROW()/1000000</f>
        <v>2602870.00004</v>
      </c>
    </row>
    <row r="41" customFormat="false" ht="15" hidden="false" customHeight="false" outlineLevel="0" collapsed="false">
      <c r="A41" s="21" t="s">
        <v>69</v>
      </c>
      <c r="B41" s="21" t="s">
        <v>44</v>
      </c>
      <c r="C41" s="25" t="n">
        <f aca="false">SUMIFS(Data!$K$2:$K$5000,Data!$G$2:$G$5000,$A41,Data!$C$2:$C$5000,Calc!$B$2,Data!$E$2:$E$5000,Calc!$B$3,Data!$F$2:$F$5000,Calc!$B$4)</f>
        <v>2449400</v>
      </c>
      <c r="D41" s="25" t="n">
        <f aca="false">SUMIFS(Data!$H$2:$H$5000,Data!$G$2:$G$5000,$A41,Data!$C$2:$C$5000,Calc!$B$2,Data!$E$2:$E$5000,Calc!$B$3,Data!$F$2:$F$5000,Calc!$B$4)</f>
        <v>119</v>
      </c>
      <c r="E41" s="31" t="n">
        <f aca="false">C41+ROW()/1000000</f>
        <v>2449400.000041</v>
      </c>
    </row>
    <row r="42" customFormat="false" ht="15" hidden="false" customHeight="false" outlineLevel="0" collapsed="false">
      <c r="A42" s="21" t="s">
        <v>92</v>
      </c>
      <c r="B42" s="21" t="s">
        <v>62</v>
      </c>
      <c r="C42" s="25" t="n">
        <f aca="false">SUMIFS(Data!$K$2:$K$5000,Data!$G$2:$G$5000,$A42,Data!$C$2:$C$5000,Calc!$B$2,Data!$E$2:$E$5000,Calc!$B$3,Data!$F$2:$F$5000,Calc!$B$4)</f>
        <v>2466650</v>
      </c>
      <c r="D42" s="25" t="n">
        <f aca="false">SUMIFS(Data!$H$2:$H$5000,Data!$G$2:$G$5000,$A42,Data!$C$2:$C$5000,Calc!$B$2,Data!$E$2:$E$5000,Calc!$B$3,Data!$F$2:$F$5000,Calc!$B$4)</f>
        <v>179</v>
      </c>
      <c r="E42" s="31" t="n">
        <f aca="false">C42+ROW()/1000000</f>
        <v>2466650.000042</v>
      </c>
    </row>
    <row r="43" customFormat="false" ht="15" hidden="false" customHeight="false" outlineLevel="0" collapsed="false">
      <c r="A43" s="21" t="s">
        <v>63</v>
      </c>
      <c r="B43" s="21" t="s">
        <v>62</v>
      </c>
      <c r="C43" s="25" t="n">
        <f aca="false">SUMIFS(Data!$K$2:$K$5000,Data!$G$2:$G$5000,$A43,Data!$C$2:$C$5000,Calc!$B$2,Data!$E$2:$E$5000,Calc!$B$3,Data!$F$2:$F$5000,Calc!$B$4)</f>
        <v>2364140</v>
      </c>
      <c r="D43" s="25" t="n">
        <f aca="false">SUMIFS(Data!$H$2:$H$5000,Data!$G$2:$G$5000,$A43,Data!$C$2:$C$5000,Calc!$B$2,Data!$E$2:$E$5000,Calc!$B$3,Data!$F$2:$F$5000,Calc!$B$4)</f>
        <v>85</v>
      </c>
      <c r="E43" s="31" t="n">
        <f aca="false">C43+ROW()/1000000</f>
        <v>2364140.000043</v>
      </c>
    </row>
    <row r="44" customFormat="false" ht="15" hidden="false" customHeight="false" outlineLevel="0" collapsed="false">
      <c r="A44" s="21" t="s">
        <v>72</v>
      </c>
      <c r="B44" s="21" t="s">
        <v>62</v>
      </c>
      <c r="C44" s="25" t="n">
        <f aca="false">SUMIFS(Data!$K$2:$K$5000,Data!$G$2:$G$5000,$A44,Data!$C$2:$C$5000,Calc!$B$2,Data!$E$2:$E$5000,Calc!$B$3,Data!$F$2:$F$5000,Calc!$B$4)</f>
        <v>664880</v>
      </c>
      <c r="D44" s="25" t="n">
        <f aca="false">SUMIFS(Data!$H$2:$H$5000,Data!$G$2:$G$5000,$A44,Data!$C$2:$C$5000,Calc!$B$2,Data!$E$2:$E$5000,Calc!$B$3,Data!$F$2:$F$5000,Calc!$B$4)</f>
        <v>90</v>
      </c>
      <c r="E44" s="31" t="n">
        <f aca="false">C44+ROW()/1000000</f>
        <v>664880.000044</v>
      </c>
    </row>
    <row r="45" customFormat="false" ht="15" hidden="false" customHeight="false" outlineLevel="0" collapsed="false">
      <c r="A45" s="21" t="s">
        <v>78</v>
      </c>
      <c r="B45" s="21" t="s">
        <v>57</v>
      </c>
      <c r="C45" s="25" t="n">
        <f aca="false">SUMIFS(Data!$K$2:$K$5000,Data!$G$2:$G$5000,$A45,Data!$C$2:$C$5000,Calc!$B$2,Data!$E$2:$E$5000,Calc!$B$3,Data!$F$2:$F$5000,Calc!$B$4)</f>
        <v>1570991</v>
      </c>
      <c r="D45" s="25" t="n">
        <f aca="false">SUMIFS(Data!$H$2:$H$5000,Data!$G$2:$G$5000,$A45,Data!$C$2:$C$5000,Calc!$B$2,Data!$E$2:$E$5000,Calc!$B$3,Data!$F$2:$F$5000,Calc!$B$4)</f>
        <v>2408</v>
      </c>
      <c r="E45" s="31" t="n">
        <f aca="false">C45+ROW()/1000000</f>
        <v>1570991.000045</v>
      </c>
    </row>
    <row r="46" customFormat="false" ht="15" hidden="false" customHeight="false" outlineLevel="0" collapsed="false">
      <c r="A46" s="21" t="s">
        <v>58</v>
      </c>
      <c r="B46" s="21" t="s">
        <v>57</v>
      </c>
      <c r="C46" s="25" t="n">
        <f aca="false">SUMIFS(Data!$K$2:$K$5000,Data!$G$2:$G$5000,$A46,Data!$C$2:$C$5000,Calc!$B$2,Data!$E$2:$E$5000,Calc!$B$3,Data!$F$2:$F$5000,Calc!$B$4)</f>
        <v>1768760</v>
      </c>
      <c r="D46" s="25" t="n">
        <f aca="false">SUMIFS(Data!$H$2:$H$5000,Data!$G$2:$G$5000,$A46,Data!$C$2:$C$5000,Calc!$B$2,Data!$E$2:$E$5000,Calc!$B$3,Data!$F$2:$F$5000,Calc!$B$4)</f>
        <v>1001</v>
      </c>
      <c r="E46" s="31" t="n">
        <f aca="false">C46+ROW()/1000000</f>
        <v>1768760.000046</v>
      </c>
    </row>
    <row r="47" customFormat="false" ht="15" hidden="false" customHeight="false" outlineLevel="0" collapsed="false">
      <c r="A47" s="21" t="s">
        <v>74</v>
      </c>
      <c r="B47" s="21" t="s">
        <v>57</v>
      </c>
      <c r="C47" s="25" t="n">
        <f aca="false">SUMIFS(Data!$K$2:$K$5000,Data!$G$2:$G$5000,$A47,Data!$C$2:$C$5000,Calc!$B$2,Data!$E$2:$E$5000,Calc!$B$3,Data!$F$2:$F$5000,Calc!$B$4)</f>
        <v>1279666</v>
      </c>
      <c r="D47" s="25" t="n">
        <f aca="false">SUMIFS(Data!$H$2:$H$5000,Data!$G$2:$G$5000,$A47,Data!$C$2:$C$5000,Calc!$B$2,Data!$E$2:$E$5000,Calc!$B$3,Data!$F$2:$F$5000,Calc!$B$4)</f>
        <v>3655</v>
      </c>
      <c r="E47" s="31" t="n">
        <f aca="false">C47+ROW()/1000000</f>
        <v>1279666.000047</v>
      </c>
    </row>
    <row r="48" customFormat="false" ht="15" hidden="false" customHeight="false" outlineLevel="0" collapsed="false">
      <c r="A48" s="21" t="s">
        <v>81</v>
      </c>
      <c r="B48" s="21" t="s">
        <v>65</v>
      </c>
      <c r="C48" s="25" t="n">
        <f aca="false">SUMIFS(Data!$K$2:$K$5000,Data!$G$2:$G$5000,$A48,Data!$C$2:$C$5000,Calc!$B$2,Data!$E$2:$E$5000,Calc!$B$3,Data!$F$2:$F$5000,Calc!$B$4)</f>
        <v>4465520</v>
      </c>
      <c r="D48" s="25" t="n">
        <f aca="false">SUMIFS(Data!$H$2:$H$5000,Data!$G$2:$G$5000,$A48,Data!$C$2:$C$5000,Calc!$B$2,Data!$E$2:$E$5000,Calc!$B$3,Data!$F$2:$F$5000,Calc!$B$4)</f>
        <v>483</v>
      </c>
      <c r="E48" s="31" t="n">
        <f aca="false">C48+ROW()/1000000</f>
        <v>4465520.000048</v>
      </c>
    </row>
    <row r="49" customFormat="false" ht="15" hidden="false" customHeight="false" outlineLevel="0" collapsed="false">
      <c r="A49" s="21" t="s">
        <v>89</v>
      </c>
      <c r="B49" s="21" t="s">
        <v>65</v>
      </c>
      <c r="C49" s="25" t="n">
        <f aca="false">SUMIFS(Data!$K$2:$K$5000,Data!$G$2:$G$5000,$A49,Data!$C$2:$C$5000,Calc!$B$2,Data!$E$2:$E$5000,Calc!$B$3,Data!$F$2:$F$5000,Calc!$B$4)</f>
        <v>1080430</v>
      </c>
      <c r="D49" s="25" t="n">
        <f aca="false">SUMIFS(Data!$H$2:$H$5000,Data!$G$2:$G$5000,$A49,Data!$C$2:$C$5000,Calc!$B$2,Data!$E$2:$E$5000,Calc!$B$3,Data!$F$2:$F$5000,Calc!$B$4)</f>
        <v>611</v>
      </c>
      <c r="E49" s="31" t="n">
        <f aca="false">C49+ROW()/1000000</f>
        <v>1080430.000049</v>
      </c>
    </row>
    <row r="50" customFormat="false" ht="15" hidden="false" customHeight="false" outlineLevel="0" collapsed="false">
      <c r="A50" s="21" t="s">
        <v>66</v>
      </c>
      <c r="B50" s="21" t="s">
        <v>65</v>
      </c>
      <c r="C50" s="25" t="n">
        <f aca="false">SUMIFS(Data!$K$2:$K$5000,Data!$G$2:$G$5000,$A50,Data!$C$2:$C$5000,Calc!$B$2,Data!$E$2:$E$5000,Calc!$B$3,Data!$F$2:$F$5000,Calc!$B$4)</f>
        <v>4373710</v>
      </c>
      <c r="D50" s="25" t="n">
        <f aca="false">SUMIFS(Data!$H$2:$H$5000,Data!$G$2:$G$5000,$A50,Data!$C$2:$C$5000,Calc!$B$2,Data!$E$2:$E$5000,Calc!$B$3,Data!$F$2:$F$5000,Calc!$B$4)</f>
        <v>928</v>
      </c>
      <c r="E50" s="31" t="n">
        <f aca="false">C50+ROW()/1000000</f>
        <v>4373710.00005</v>
      </c>
    </row>
    <row r="51" customFormat="false" ht="15" hidden="false" customHeight="false" outlineLevel="0" collapsed="false">
      <c r="A51" s="21"/>
      <c r="B51" s="21"/>
      <c r="C51" s="21"/>
      <c r="D51" s="21"/>
      <c r="E51" s="21"/>
    </row>
    <row r="52" customFormat="false" ht="15" hidden="false" customHeight="false" outlineLevel="0" collapsed="false">
      <c r="A52" s="21"/>
      <c r="B52" s="21"/>
      <c r="C52" s="21"/>
      <c r="D52" s="21"/>
      <c r="E52" s="21"/>
    </row>
    <row r="53" customFormat="false" ht="15" hidden="false" customHeight="false" outlineLevel="0" collapsed="false">
      <c r="A53" s="28" t="s">
        <v>744</v>
      </c>
      <c r="B53" s="21"/>
      <c r="C53" s="21"/>
      <c r="D53" s="21"/>
      <c r="E53" s="21"/>
    </row>
    <row r="54" customFormat="false" ht="15" hidden="false" customHeight="false" outlineLevel="0" collapsed="false">
      <c r="A54" s="29" t="s">
        <v>745</v>
      </c>
      <c r="B54" s="29" t="s">
        <v>35</v>
      </c>
      <c r="C54" s="29" t="s">
        <v>724</v>
      </c>
      <c r="D54" s="21"/>
      <c r="E54" s="21"/>
    </row>
    <row r="55" customFormat="false" ht="15" hidden="false" customHeight="false" outlineLevel="0" collapsed="false">
      <c r="A55" s="21" t="n">
        <v>1</v>
      </c>
      <c r="B55" s="21" t="str">
        <f aca="false">INDEX($A$39:$A$50,MATCH(LARGE($E$39:$E$50,A55),$E$39:$E$50,0))</f>
        <v>Laptop Pro 15</v>
      </c>
      <c r="C55" s="25" t="n">
        <f aca="false">INDEX($C$39:$C$50,MATCH(LARGE($E$39:$E$50,A55),$E$39:$E$50,0))</f>
        <v>7897060</v>
      </c>
      <c r="D55" s="21"/>
      <c r="E55" s="21"/>
    </row>
    <row r="56" customFormat="false" ht="15" hidden="false" customHeight="false" outlineLevel="0" collapsed="false">
      <c r="A56" s="21" t="n">
        <v>2</v>
      </c>
      <c r="B56" s="21" t="str">
        <f aca="false">INDEX($A$39:$A$50,MATCH(LARGE($E$39:$E$50,A56),$E$39:$E$50,0))</f>
        <v>Productivity Suite License</v>
      </c>
      <c r="C56" s="25" t="n">
        <f aca="false">INDEX($C$39:$C$50,MATCH(LARGE($E$39:$E$50,A56),$E$39:$E$50,0))</f>
        <v>4465520</v>
      </c>
      <c r="D56" s="21"/>
      <c r="E56" s="21"/>
    </row>
    <row r="57" customFormat="false" ht="15" hidden="false" customHeight="false" outlineLevel="0" collapsed="false">
      <c r="A57" s="21" t="n">
        <v>3</v>
      </c>
      <c r="B57" s="21" t="str">
        <f aca="false">INDEX($A$39:$A$50,MATCH(LARGE($E$39:$E$50,A57),$E$39:$E$50,0))</f>
        <v>Cloud Storage Plan</v>
      </c>
      <c r="C57" s="25" t="n">
        <f aca="false">INDEX($C$39:$C$50,MATCH(LARGE($E$39:$E$50,A57),$E$39:$E$50,0))</f>
        <v>4373710</v>
      </c>
      <c r="D57" s="21"/>
      <c r="E57" s="21"/>
    </row>
    <row r="58" customFormat="false" ht="15" hidden="false" customHeight="false" outlineLevel="0" collapsed="false">
      <c r="A58" s="21" t="n">
        <v>4</v>
      </c>
      <c r="B58" s="21" t="str">
        <f aca="false">INDEX($A$39:$A$50,MATCH(LARGE($E$39:$E$50,A58),$E$39:$E$50,0))</f>
        <v>Wireless Earbuds</v>
      </c>
      <c r="C58" s="25" t="n">
        <f aca="false">INDEX($C$39:$C$50,MATCH(LARGE($E$39:$E$50,A58),$E$39:$E$50,0))</f>
        <v>2602870</v>
      </c>
      <c r="D58" s="21"/>
      <c r="E58" s="21"/>
    </row>
    <row r="59" customFormat="false" ht="15" hidden="false" customHeight="false" outlineLevel="0" collapsed="false">
      <c r="A59" s="21" t="n">
        <v>5</v>
      </c>
      <c r="B59" s="21" t="str">
        <f aca="false">INDEX($A$39:$A$50,MATCH(LARGE($E$39:$E$50,A59),$E$39:$E$50,0))</f>
        <v>Ergonomic Chair</v>
      </c>
      <c r="C59" s="25" t="n">
        <f aca="false">INDEX($C$39:$C$50,MATCH(LARGE($E$39:$E$50,A59),$E$39:$E$50,0))</f>
        <v>2466650</v>
      </c>
      <c r="D59" s="21"/>
      <c r="E59" s="21"/>
    </row>
    <row r="60" customFormat="false" ht="15" hidden="false" customHeight="false" outlineLevel="0" collapsed="false">
      <c r="A60" s="21"/>
      <c r="B60" s="21"/>
      <c r="C60" s="21"/>
      <c r="D60" s="21"/>
      <c r="E60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2026-10-09T15:03:17Z</dcterms:created>
  <dc:creator>openpyxl</dc:creator>
  <dc:description/>
  <dc:language>en-US</dc:language>
  <cp:lastModifiedBy/>
  <dcterms:modified xsi:type="dcterms:W3CDTF">2026-10-09T15:03:19Z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